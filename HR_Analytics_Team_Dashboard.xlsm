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Sowmiya\Downloads\"/>
    </mc:Choice>
  </mc:AlternateContent>
  <xr:revisionPtr revIDLastSave="0" documentId="13_ncr:1_{EC38855D-E0F9-47ED-A024-EA9449A3AA04}" xr6:coauthVersionLast="47" xr6:coauthVersionMax="47" xr10:uidLastSave="{00000000-0000-0000-0000-000000000000}"/>
  <bookViews>
    <workbookView xWindow="-120" yWindow="-120" windowWidth="20730" windowHeight="11040" xr2:uid="{24ADA2CA-19E0-4F8A-B6D9-8D952DA4A3FC}"/>
  </bookViews>
  <sheets>
    <sheet name="HR DASHBOARD" sheetId="2" r:id="rId1"/>
    <sheet name="Pivot" sheetId="3" r:id="rId2"/>
    <sheet name="Data sheet" sheetId="1" r:id="rId3"/>
  </sheets>
  <definedNames>
    <definedName name="_xlchart.v2.0" hidden="1">Pivot!$U$15:$U$21</definedName>
    <definedName name="_xlchart.v2.1" hidden="1">Pivot!$V$14</definedName>
    <definedName name="_xlchart.v2.2" hidden="1">Pivot!$V$15:$V$21</definedName>
    <definedName name="Slicer_Department">#N/A</definedName>
    <definedName name="Slicer_Reporting_Manager">#N/A</definedName>
  </definedNames>
  <calcPr calcId="191029"/>
  <pivotCaches>
    <pivotCache cacheId="22"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 i="1" l="1"/>
  <c r="P120" i="1"/>
  <c r="P121" i="1"/>
  <c r="O4" i="1"/>
  <c r="P3" i="1"/>
  <c r="O3" i="1"/>
  <c r="P17" i="1"/>
  <c r="O17" i="1"/>
  <c r="P16" i="1"/>
  <c r="O16" i="1"/>
  <c r="P15" i="1"/>
  <c r="O15" i="1"/>
  <c r="P14" i="1"/>
  <c r="O14" i="1"/>
  <c r="P13" i="1"/>
  <c r="O13" i="1"/>
  <c r="P12" i="1"/>
  <c r="O12" i="1"/>
  <c r="P11" i="1"/>
  <c r="O11" i="1"/>
  <c r="P10" i="1"/>
  <c r="O10" i="1"/>
  <c r="P9" i="1"/>
  <c r="O9" i="1"/>
  <c r="P8" i="1"/>
  <c r="O8" i="1"/>
  <c r="P67" i="1"/>
  <c r="O67" i="1"/>
  <c r="P66" i="1"/>
  <c r="O66" i="1"/>
  <c r="P65" i="1"/>
  <c r="O65" i="1"/>
  <c r="P64" i="1"/>
  <c r="O64" i="1"/>
  <c r="P63" i="1"/>
  <c r="O63" i="1"/>
  <c r="P62" i="1"/>
  <c r="O62" i="1"/>
  <c r="P61" i="1"/>
  <c r="O61" i="1"/>
  <c r="P60" i="1"/>
  <c r="O60" i="1"/>
  <c r="P59" i="1"/>
  <c r="O59" i="1"/>
  <c r="P58" i="1"/>
  <c r="O58" i="1"/>
  <c r="P57" i="1"/>
  <c r="O57" i="1"/>
  <c r="P56" i="1"/>
  <c r="O56" i="1"/>
  <c r="P55" i="1"/>
  <c r="O55" i="1"/>
  <c r="P54" i="1"/>
  <c r="O54"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P39" i="1"/>
  <c r="O39" i="1"/>
  <c r="P38" i="1"/>
  <c r="O38" i="1"/>
  <c r="P37" i="1"/>
  <c r="O37" i="1"/>
  <c r="P36" i="1"/>
  <c r="O36" i="1"/>
  <c r="P35" i="1"/>
  <c r="O35" i="1"/>
  <c r="P34" i="1"/>
  <c r="O34" i="1"/>
  <c r="P33" i="1"/>
  <c r="O33" i="1"/>
  <c r="P32" i="1"/>
  <c r="O32" i="1"/>
  <c r="P31" i="1"/>
  <c r="O31" i="1"/>
  <c r="P30" i="1"/>
  <c r="O30" i="1"/>
  <c r="P29" i="1"/>
  <c r="O29" i="1"/>
  <c r="P28" i="1"/>
  <c r="O28" i="1"/>
  <c r="P27" i="1"/>
  <c r="O27" i="1"/>
  <c r="P26" i="1"/>
  <c r="O26" i="1"/>
  <c r="P25" i="1"/>
  <c r="O25" i="1"/>
  <c r="P24" i="1"/>
  <c r="O24" i="1"/>
  <c r="P23" i="1"/>
  <c r="O23"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2" i="1"/>
  <c r="O2" i="1"/>
  <c r="P7" i="1"/>
  <c r="O7" i="1"/>
  <c r="P6" i="1"/>
  <c r="O6" i="1"/>
  <c r="P5" i="1"/>
  <c r="O5" i="1"/>
  <c r="P22" i="1"/>
  <c r="O22" i="1"/>
  <c r="P21" i="1"/>
  <c r="O21" i="1"/>
  <c r="P20" i="1"/>
  <c r="O20" i="1"/>
  <c r="P19" i="1"/>
  <c r="O19" i="1"/>
  <c r="P18" i="1"/>
  <c r="O18" i="1"/>
  <c r="P75" i="1"/>
  <c r="O75" i="1"/>
  <c r="P74" i="1"/>
  <c r="O74" i="1"/>
  <c r="P73" i="1"/>
  <c r="O73" i="1"/>
  <c r="P72" i="1"/>
  <c r="O72" i="1"/>
  <c r="P71" i="1"/>
  <c r="O71" i="1"/>
  <c r="P70" i="1"/>
  <c r="O70" i="1"/>
  <c r="P69" i="1"/>
  <c r="O69" i="1"/>
  <c r="P68" i="1"/>
  <c r="O68" i="1"/>
  <c r="P96" i="1"/>
  <c r="O96" i="1"/>
  <c r="P95" i="1"/>
  <c r="O95" i="1"/>
  <c r="P123" i="1"/>
  <c r="O123" i="1"/>
  <c r="P122" i="1"/>
  <c r="O122" i="1"/>
  <c r="O121" i="1"/>
  <c r="O120" i="1"/>
  <c r="E15" i="3"/>
  <c r="AB16" i="3"/>
  <c r="G19" i="3"/>
  <c r="E16" i="3"/>
  <c r="E20" i="3"/>
  <c r="F19" i="3"/>
  <c r="AB19" i="3"/>
  <c r="B15" i="3"/>
  <c r="G18" i="3"/>
  <c r="AB17" i="3"/>
  <c r="F16" i="3"/>
  <c r="J16" i="3"/>
  <c r="F18" i="3"/>
  <c r="V17" i="3"/>
  <c r="Y16" i="3"/>
  <c r="AB15" i="3"/>
  <c r="Y15" i="3"/>
  <c r="AB20" i="3"/>
  <c r="G16" i="3"/>
  <c r="E19" i="3"/>
  <c r="R19" i="3"/>
  <c r="V19" i="3"/>
  <c r="E18" i="3"/>
  <c r="F20" i="3"/>
  <c r="V15" i="3"/>
  <c r="G17" i="3"/>
  <c r="V18" i="3"/>
  <c r="AB18" i="3"/>
  <c r="N16" i="3"/>
  <c r="G20" i="3"/>
  <c r="R18" i="3"/>
  <c r="R21" i="3"/>
  <c r="V21" i="3"/>
  <c r="F17" i="3"/>
  <c r="V16" i="3"/>
  <c r="N15" i="3"/>
  <c r="R15" i="3"/>
  <c r="R16" i="3"/>
  <c r="G15" i="3"/>
  <c r="J15" i="3"/>
  <c r="R20" i="3"/>
  <c r="N17" i="3"/>
  <c r="R17" i="3"/>
  <c r="V20" i="3"/>
  <c r="E17" i="3"/>
  <c r="F15" i="3"/>
  <c r="N18" i="3"/>
  <c r="AB21" i="3" l="1"/>
  <c r="AC21" i="3" s="1"/>
  <c r="N19" i="3"/>
  <c r="O16" i="3" s="1"/>
  <c r="Y17" i="3"/>
  <c r="Z17" i="3" s="1"/>
  <c r="V22" i="3"/>
  <c r="R22" i="3"/>
  <c r="S22" i="3" s="1"/>
  <c r="J17" i="3"/>
  <c r="K17" i="3" s="1"/>
  <c r="E21" i="3"/>
  <c r="B17" i="3" s="1"/>
  <c r="B18" i="3" s="1"/>
  <c r="F21" i="3"/>
  <c r="B16" i="3" s="1"/>
  <c r="H15" i="3"/>
  <c r="H16" i="3" s="1"/>
  <c r="H17" i="3" s="1"/>
  <c r="H18" i="3" s="1"/>
  <c r="H19" i="3" s="1"/>
  <c r="H20" i="3" s="1"/>
  <c r="H21" i="3" s="1"/>
  <c r="G21" i="3"/>
  <c r="B19" i="3" s="1"/>
  <c r="AC17" i="3" l="1"/>
  <c r="AC18" i="3"/>
  <c r="AC19" i="3"/>
  <c r="AC16" i="3"/>
  <c r="Z16" i="3"/>
  <c r="AC20" i="3"/>
  <c r="AC15" i="3"/>
  <c r="Z15" i="3"/>
  <c r="S19" i="3"/>
  <c r="S15" i="3"/>
  <c r="S16" i="3"/>
  <c r="S20" i="3"/>
  <c r="S21" i="3"/>
  <c r="S17" i="3"/>
  <c r="S18" i="3"/>
  <c r="O19" i="3"/>
  <c r="O15" i="3"/>
  <c r="O18" i="3"/>
  <c r="O17" i="3"/>
  <c r="K15" i="3"/>
  <c r="K16" i="3"/>
</calcChain>
</file>

<file path=xl/sharedStrings.xml><?xml version="1.0" encoding="utf-8"?>
<sst xmlns="http://schemas.openxmlformats.org/spreadsheetml/2006/main" count="1562" uniqueCount="262">
  <si>
    <t>Emp Status</t>
  </si>
  <si>
    <t>Movement</t>
  </si>
  <si>
    <t>Emp Id</t>
  </si>
  <si>
    <t>Name</t>
  </si>
  <si>
    <t>Date of Joining</t>
  </si>
  <si>
    <t>Data of Relieving</t>
  </si>
  <si>
    <t>Reporting Manager</t>
  </si>
  <si>
    <t>Emp Type</t>
  </si>
  <si>
    <t>Category</t>
  </si>
  <si>
    <t>Date of Birth</t>
  </si>
  <si>
    <t>Marital status</t>
  </si>
  <si>
    <t>Grade</t>
  </si>
  <si>
    <t>Department</t>
  </si>
  <si>
    <t>Total Experience</t>
  </si>
  <si>
    <t>Year</t>
  </si>
  <si>
    <t>Stability</t>
  </si>
  <si>
    <t>On-Board</t>
  </si>
  <si>
    <t>IJP</t>
  </si>
  <si>
    <t>CT18807</t>
  </si>
  <si>
    <t>Adrian Odonnell</t>
  </si>
  <si>
    <t>Roberta Moyer</t>
  </si>
  <si>
    <t>Contract</t>
  </si>
  <si>
    <t>Male</t>
  </si>
  <si>
    <t>Single</t>
  </si>
  <si>
    <t>Operations</t>
  </si>
  <si>
    <t>Attrition</t>
  </si>
  <si>
    <t>CT12674</t>
  </si>
  <si>
    <t>Marina Velazquez</t>
  </si>
  <si>
    <t>Married</t>
  </si>
  <si>
    <t>Trainees</t>
  </si>
  <si>
    <t>Accounting</t>
  </si>
  <si>
    <t>CT11735</t>
  </si>
  <si>
    <t>Regina Schaefer</t>
  </si>
  <si>
    <t>CT10131</t>
  </si>
  <si>
    <t>Donna Sparks</t>
  </si>
  <si>
    <t>Legal</t>
  </si>
  <si>
    <t>CT16953</t>
  </si>
  <si>
    <t>Sal Glass</t>
  </si>
  <si>
    <t>Ryan Simmons</t>
  </si>
  <si>
    <t>Female</t>
  </si>
  <si>
    <t>Marketing</t>
  </si>
  <si>
    <t>CT11213</t>
  </si>
  <si>
    <t>Malik Schneider</t>
  </si>
  <si>
    <t>Darryl Leon</t>
  </si>
  <si>
    <t>Finance</t>
  </si>
  <si>
    <t>CT17933</t>
  </si>
  <si>
    <t>Fanny Hampton</t>
  </si>
  <si>
    <t>CT17253</t>
  </si>
  <si>
    <t>Edison York</t>
  </si>
  <si>
    <t>HR</t>
  </si>
  <si>
    <t>CT14693</t>
  </si>
  <si>
    <t>Geraldo Pugh</t>
  </si>
  <si>
    <t>Geneva Hardy</t>
  </si>
  <si>
    <t>CT11465</t>
  </si>
  <si>
    <t>Ellis Best</t>
  </si>
  <si>
    <t>CT12948</t>
  </si>
  <si>
    <t>Olen Walter</t>
  </si>
  <si>
    <t>Janelle Wiley</t>
  </si>
  <si>
    <t>CT11145</t>
  </si>
  <si>
    <t>Mckinley Baird</t>
  </si>
  <si>
    <t>CT18269</t>
  </si>
  <si>
    <t>Maura Huynh</t>
  </si>
  <si>
    <t>Sales</t>
  </si>
  <si>
    <t>CT13931</t>
  </si>
  <si>
    <t>Buster Joyce</t>
  </si>
  <si>
    <t>Alejandra Mack</t>
  </si>
  <si>
    <t>CT15252</t>
  </si>
  <si>
    <t>Rosanna Bauer</t>
  </si>
  <si>
    <t>CT13664</t>
  </si>
  <si>
    <t>Marion Harmon</t>
  </si>
  <si>
    <t>CT10043</t>
  </si>
  <si>
    <t>Shawn Ross</t>
  </si>
  <si>
    <t>CT16547</t>
  </si>
  <si>
    <t>Houston Wilson</t>
  </si>
  <si>
    <t>CT11188</t>
  </si>
  <si>
    <t>Maricela Gates</t>
  </si>
  <si>
    <t>CT14537</t>
  </si>
  <si>
    <t>Fletcher Tate</t>
  </si>
  <si>
    <t>CT14690</t>
  </si>
  <si>
    <t>Emily Davis</t>
  </si>
  <si>
    <t>Jefferson Perry</t>
  </si>
  <si>
    <t>CT16195</t>
  </si>
  <si>
    <t>Penelope Jordan</t>
  </si>
  <si>
    <t>CT16735</t>
  </si>
  <si>
    <t>Alfredo Mcclain</t>
  </si>
  <si>
    <t>Preston Case</t>
  </si>
  <si>
    <t>Permanent</t>
  </si>
  <si>
    <t>Branden Kaiser</t>
  </si>
  <si>
    <t>Julia Bell</t>
  </si>
  <si>
    <t>Management</t>
  </si>
  <si>
    <t>Sammy Hancock</t>
  </si>
  <si>
    <t>Mabel Cuevas</t>
  </si>
  <si>
    <t>Norris Madden</t>
  </si>
  <si>
    <t>Vincenzo Mcdowell</t>
  </si>
  <si>
    <t>Chris Mcbride</t>
  </si>
  <si>
    <t>Wesley Berger</t>
  </si>
  <si>
    <t>Bart Sims</t>
  </si>
  <si>
    <t>Professional</t>
  </si>
  <si>
    <t>Tricia Arroyo</t>
  </si>
  <si>
    <t>Kennith Barber</t>
  </si>
  <si>
    <t>Alonzo Harrison</t>
  </si>
  <si>
    <t>Kirk Wagner</t>
  </si>
  <si>
    <t>Zackary Tucker</t>
  </si>
  <si>
    <t>Roberto Ford</t>
  </si>
  <si>
    <t>Sadie Mcmahon</t>
  </si>
  <si>
    <t>Darla Parks</t>
  </si>
  <si>
    <t>Letitia Church</t>
  </si>
  <si>
    <t>Collin Paul</t>
  </si>
  <si>
    <t>Frances Leblanc</t>
  </si>
  <si>
    <t>Alexis Conway</t>
  </si>
  <si>
    <t>Chi Preston</t>
  </si>
  <si>
    <t>Randolph Reilly</t>
  </si>
  <si>
    <t>Howard Wiggins</t>
  </si>
  <si>
    <t>Palmer Hart</t>
  </si>
  <si>
    <t>Lesa Terrell</t>
  </si>
  <si>
    <t>Celeste Moses</t>
  </si>
  <si>
    <t>Leanne Mosley</t>
  </si>
  <si>
    <t>Renaldo Navarro</t>
  </si>
  <si>
    <t>Sonia Ortiz</t>
  </si>
  <si>
    <t>Faith Lopez</t>
  </si>
  <si>
    <t>Kim Ramirez</t>
  </si>
  <si>
    <t>Mariana Chavez</t>
  </si>
  <si>
    <t>Tracey Burch</t>
  </si>
  <si>
    <t>Gabriela Juarez</t>
  </si>
  <si>
    <t>Katheryn Trevino</t>
  </si>
  <si>
    <t>Angelita Townsend</t>
  </si>
  <si>
    <t>Damon Burgess</t>
  </si>
  <si>
    <t>Olen Watts</t>
  </si>
  <si>
    <t>Raymond Levine</t>
  </si>
  <si>
    <t>Sally Hinton</t>
  </si>
  <si>
    <t>Katelyn Ware</t>
  </si>
  <si>
    <t>Jessie Bowen</t>
  </si>
  <si>
    <t>Mac Marquez</t>
  </si>
  <si>
    <t>OnRoll</t>
  </si>
  <si>
    <t>Spencer Webb</t>
  </si>
  <si>
    <t>Valentin Mcdonald</t>
  </si>
  <si>
    <t>Transfer</t>
  </si>
  <si>
    <t>Royce Schneider</t>
  </si>
  <si>
    <t>Kara Mclean</t>
  </si>
  <si>
    <t>Damian Mckee</t>
  </si>
  <si>
    <t>Mohamed Duran</t>
  </si>
  <si>
    <t>Vera Harvey</t>
  </si>
  <si>
    <t>Cristina David</t>
  </si>
  <si>
    <t>Florence Randall</t>
  </si>
  <si>
    <t>Andrea Logan</t>
  </si>
  <si>
    <t>Barrett Wallace</t>
  </si>
  <si>
    <t>Claude Ramsey</t>
  </si>
  <si>
    <t>Mason Wells</t>
  </si>
  <si>
    <t>Whitney Vance</t>
  </si>
  <si>
    <t>Bobbie Harvey</t>
  </si>
  <si>
    <t>Russel Fox</t>
  </si>
  <si>
    <t>Benita Holland</t>
  </si>
  <si>
    <t>Cory Leblanc</t>
  </si>
  <si>
    <t>Isaiah George</t>
  </si>
  <si>
    <t>Brad Nichols</t>
  </si>
  <si>
    <t>Quentin Mcdonald</t>
  </si>
  <si>
    <t>Johnie Pruitt</t>
  </si>
  <si>
    <t>Walker Whitney</t>
  </si>
  <si>
    <t>Alexander Fowler</t>
  </si>
  <si>
    <t>Susanna Humphrey</t>
  </si>
  <si>
    <t>Beth Lowe</t>
  </si>
  <si>
    <t>Casandra Aguilar</t>
  </si>
  <si>
    <t>Lynn Andersen</t>
  </si>
  <si>
    <t>Leola Vega</t>
  </si>
  <si>
    <t>Hillary Spencer</t>
  </si>
  <si>
    <t>Joesph Jones</t>
  </si>
  <si>
    <t>Otha May</t>
  </si>
  <si>
    <t>Ophelia Black</t>
  </si>
  <si>
    <t>Helena Williamson</t>
  </si>
  <si>
    <t>Megan Kent</t>
  </si>
  <si>
    <t>Rufus Escobar</t>
  </si>
  <si>
    <t>Ericka Hurst</t>
  </si>
  <si>
    <t>Johnny Cisneros</t>
  </si>
  <si>
    <t>Alba Norton</t>
  </si>
  <si>
    <t>Sanford Patterson</t>
  </si>
  <si>
    <t>Blanche Greer</t>
  </si>
  <si>
    <t>Nita Powers</t>
  </si>
  <si>
    <t>Francesco Blanchard</t>
  </si>
  <si>
    <t>Elias Davis</t>
  </si>
  <si>
    <t>Lucio Christian</t>
  </si>
  <si>
    <t>Greg Schaefer</t>
  </si>
  <si>
    <t>Adriana Little</t>
  </si>
  <si>
    <t>Abdul Khan</t>
  </si>
  <si>
    <t>Marissa Mckee</t>
  </si>
  <si>
    <t>Ashlee Ortega</t>
  </si>
  <si>
    <t>Edmund Lawson</t>
  </si>
  <si>
    <t>Linda Jacobs</t>
  </si>
  <si>
    <t>Kelley Harding</t>
  </si>
  <si>
    <t>Rose Carney</t>
  </si>
  <si>
    <t>Emery Goodwin</t>
  </si>
  <si>
    <t>Derick Singh</t>
  </si>
  <si>
    <t>Hassan Wilcox</t>
  </si>
  <si>
    <t>Natalie Serrano</t>
  </si>
  <si>
    <t>Sandy Singleton</t>
  </si>
  <si>
    <t>Josiah Hart</t>
  </si>
  <si>
    <t>Wayne Hartman</t>
  </si>
  <si>
    <t>Sallie Carpenter</t>
  </si>
  <si>
    <t>Allen Walters</t>
  </si>
  <si>
    <t>Flora Bass</t>
  </si>
  <si>
    <t>Roberto Harper</t>
  </si>
  <si>
    <t>Isabella Miles</t>
  </si>
  <si>
    <t>Consuelo Beck</t>
  </si>
  <si>
    <t>Barney Velasquez</t>
  </si>
  <si>
    <t>Jamaal Delgado</t>
  </si>
  <si>
    <t>Glenda Ayers</t>
  </si>
  <si>
    <t>Vonda Chandler</t>
  </si>
  <si>
    <t>Elma Perkins</t>
  </si>
  <si>
    <t>Irving Good</t>
  </si>
  <si>
    <t>Carlo Stephens</t>
  </si>
  <si>
    <t>Fermin Maddox</t>
  </si>
  <si>
    <t>Wendell Bonilla</t>
  </si>
  <si>
    <t>Hank Copeland</t>
  </si>
  <si>
    <t>Luciano Arnold</t>
  </si>
  <si>
    <t>Aimee Freeman</t>
  </si>
  <si>
    <t>Jarrett Henson</t>
  </si>
  <si>
    <t>Garland Barber</t>
  </si>
  <si>
    <t>Filiberto Baird</t>
  </si>
  <si>
    <t>Reed Pena</t>
  </si>
  <si>
    <t>Cecile Garner</t>
  </si>
  <si>
    <t>Art Kim</t>
  </si>
  <si>
    <t>Grover Kramer</t>
  </si>
  <si>
    <t>Milan Pope</t>
  </si>
  <si>
    <t>Randal Mata</t>
  </si>
  <si>
    <t>Pete Arroyo</t>
  </si>
  <si>
    <t>Luna Sanders</t>
  </si>
  <si>
    <t>Santos Mooney</t>
  </si>
  <si>
    <t>Theodore Dinh</t>
  </si>
  <si>
    <t>Austin Vo</t>
  </si>
  <si>
    <t>Jermaine Benitez</t>
  </si>
  <si>
    <t>Joshua Gupta</t>
  </si>
  <si>
    <t>Dave Armstrong</t>
  </si>
  <si>
    <t>year</t>
  </si>
  <si>
    <t>contract</t>
  </si>
  <si>
    <t>Row Labels</t>
  </si>
  <si>
    <t>Count of Name</t>
  </si>
  <si>
    <t>Column Labels</t>
  </si>
  <si>
    <t>Total</t>
  </si>
  <si>
    <t>KPI</t>
  </si>
  <si>
    <t>VALUES</t>
  </si>
  <si>
    <t>Total headcount</t>
  </si>
  <si>
    <t>active headcount</t>
  </si>
  <si>
    <t>attrition</t>
  </si>
  <si>
    <t>attrition %</t>
  </si>
  <si>
    <t>transfer</t>
  </si>
  <si>
    <t>GENDER</t>
  </si>
  <si>
    <t>HEADCOUNT</t>
  </si>
  <si>
    <t>HC %</t>
  </si>
  <si>
    <t>HC</t>
  </si>
  <si>
    <t>HC%</t>
  </si>
  <si>
    <t>LEVAL</t>
  </si>
  <si>
    <t>DEPT</t>
  </si>
  <si>
    <t>MANAGER</t>
  </si>
  <si>
    <t>EMP TYPE</t>
  </si>
  <si>
    <t>&lt;1 year</t>
  </si>
  <si>
    <t>1+ years</t>
  </si>
  <si>
    <t>2+ years</t>
  </si>
  <si>
    <t>3+ years</t>
  </si>
  <si>
    <t>4+ years</t>
  </si>
  <si>
    <t>5+ years</t>
  </si>
  <si>
    <t>stability</t>
  </si>
  <si>
    <t xml:space="preserve"> HC%</t>
  </si>
  <si>
    <t>HC 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</si>
</sst>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409]d\-mmm;@"/>
  </numFmts>
  <fonts count="9" x14ac:knownFonts="1">
    <font>
      <sz val="11"/>
      <color theme="1"/>
      <name val="Aptos Narrow"/>
      <family val="2"/>
      <scheme val="minor"/>
    </font>
    <font>
      <b/>
      <sz val="10"/>
      <name val="Aptos Narrow"/>
      <family val="2"/>
      <scheme val="minor"/>
    </font>
    <font>
      <sz val="10"/>
      <name val="Aptos Narrow"/>
      <family val="2"/>
      <scheme val="minor"/>
    </font>
    <font>
      <sz val="10"/>
      <color theme="1"/>
      <name val="Aptos Narrow"/>
      <family val="2"/>
      <scheme val="minor"/>
    </font>
    <font>
      <sz val="8"/>
      <name val="Aptos Narrow"/>
      <family val="2"/>
      <scheme val="minor"/>
    </font>
    <font>
      <b/>
      <sz val="11"/>
      <color rgb="FF000000"/>
      <name val="Aptos Narrow"/>
      <family val="2"/>
      <scheme val="minor"/>
    </font>
    <font>
      <sz val="11"/>
      <color rgb="FF000000"/>
      <name val="Aptos Narrow"/>
      <family val="2"/>
      <scheme val="minor"/>
    </font>
    <font>
      <sz val="11"/>
      <color theme="1"/>
      <name val="Aptos Narrow"/>
      <family val="2"/>
      <scheme val="minor"/>
    </font>
    <font>
      <b/>
      <sz val="11"/>
      <color theme="1"/>
      <name val="Aptos Narrow"/>
      <family val="2"/>
      <scheme val="minor"/>
    </font>
  </fonts>
  <fills count="8">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rgb="FFC0E6F5"/>
        <bgColor rgb="FFC0E6F5"/>
      </patternFill>
    </fill>
    <fill>
      <patternFill patternType="solid">
        <fgColor theme="0"/>
        <bgColor rgb="FFC0E6F5"/>
      </patternFill>
    </fill>
    <fill>
      <patternFill patternType="solid">
        <fgColor theme="2"/>
        <bgColor rgb="FFC0E6F5"/>
      </patternFill>
    </fill>
    <fill>
      <patternFill patternType="solid">
        <fgColor theme="2"/>
        <bgColor theme="4" tint="0.79998168889431442"/>
      </patternFill>
    </fill>
  </fills>
  <borders count="7">
    <border>
      <left/>
      <right/>
      <top/>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top/>
      <bottom style="thin">
        <color rgb="FF44B3E1"/>
      </bottom>
      <diagonal/>
    </border>
    <border>
      <left/>
      <right/>
      <top style="thin">
        <color rgb="FF44B3E1"/>
      </top>
      <bottom/>
      <diagonal/>
    </border>
    <border>
      <left/>
      <right/>
      <top/>
      <bottom style="thin">
        <color theme="4" tint="0.39997558519241921"/>
      </bottom>
      <diagonal/>
    </border>
  </borders>
  <cellStyleXfs count="2">
    <xf numFmtId="0" fontId="0" fillId="0" borderId="0"/>
    <xf numFmtId="9" fontId="7" fillId="0" borderId="0" applyFont="0" applyFill="0" applyBorder="0" applyAlignment="0" applyProtection="0"/>
  </cellStyleXfs>
  <cellXfs count="29">
    <xf numFmtId="0" fontId="0" fillId="0" borderId="0" xfId="0"/>
    <xf numFmtId="0" fontId="2" fillId="0" borderId="1" xfId="0" applyFont="1" applyBorder="1"/>
    <xf numFmtId="0" fontId="3" fillId="0" borderId="1" xfId="0" applyFont="1" applyBorder="1" applyAlignment="1">
      <alignment horizontal="left"/>
    </xf>
    <xf numFmtId="0" fontId="3" fillId="0" borderId="1" xfId="0" applyFont="1" applyBorder="1"/>
    <xf numFmtId="164" fontId="3" fillId="0" borderId="1" xfId="0" applyNumberFormat="1" applyFont="1" applyBorder="1" applyAlignment="1">
      <alignment horizontal="right" vertical="center"/>
    </xf>
    <xf numFmtId="164" fontId="3" fillId="0" borderId="1" xfId="0" applyNumberFormat="1" applyFont="1" applyBorder="1" applyAlignment="1">
      <alignment horizontal="left" vertical="center"/>
    </xf>
    <xf numFmtId="165" fontId="3" fillId="0" borderId="1" xfId="0" applyNumberFormat="1" applyFont="1" applyBorder="1" applyAlignment="1">
      <alignment horizontal="left"/>
    </xf>
    <xf numFmtId="0" fontId="3" fillId="3" borderId="1" xfId="0" applyFont="1" applyFill="1" applyBorder="1"/>
    <xf numFmtId="0" fontId="0" fillId="0" borderId="2" xfId="0" applyBorder="1"/>
    <xf numFmtId="0" fontId="0" fillId="0" borderId="3" xfId="0" applyBorder="1"/>
    <xf numFmtId="0" fontId="1" fillId="2" borderId="1" xfId="0" applyFont="1" applyFill="1" applyBorder="1" applyAlignment="1">
      <alignment horizontal="center" vertical="center" wrapText="1"/>
    </xf>
    <xf numFmtId="0" fontId="1" fillId="2" borderId="1" xfId="0" applyFont="1" applyFill="1" applyBorder="1" applyAlignment="1">
      <alignment horizontal="left" vertical="center" wrapText="1"/>
    </xf>
    <xf numFmtId="0" fontId="0" fillId="0" borderId="0" xfId="0" pivotButton="1"/>
    <xf numFmtId="0" fontId="0" fillId="0" borderId="0" xfId="0" applyAlignment="1">
      <alignment horizontal="left"/>
    </xf>
    <xf numFmtId="0" fontId="6" fillId="0" borderId="0" xfId="0" applyFont="1" applyAlignment="1">
      <alignment horizontal="left"/>
    </xf>
    <xf numFmtId="0" fontId="6" fillId="0" borderId="0" xfId="0" applyFont="1"/>
    <xf numFmtId="0" fontId="5" fillId="4" borderId="5" xfId="0" applyFont="1" applyFill="1" applyBorder="1" applyAlignment="1">
      <alignment horizontal="left"/>
    </xf>
    <xf numFmtId="0" fontId="5" fillId="4" borderId="5" xfId="0" applyFont="1" applyFill="1" applyBorder="1"/>
    <xf numFmtId="9" fontId="0" fillId="0" borderId="0" xfId="1" applyFont="1"/>
    <xf numFmtId="0" fontId="0" fillId="0" borderId="0" xfId="1" applyNumberFormat="1" applyFont="1"/>
    <xf numFmtId="0" fontId="6" fillId="5" borderId="0" xfId="0" applyFont="1" applyFill="1"/>
    <xf numFmtId="0" fontId="5" fillId="6" borderId="4" xfId="0" applyFont="1" applyFill="1" applyBorder="1"/>
    <xf numFmtId="0" fontId="8" fillId="7" borderId="6" xfId="0" applyFont="1" applyFill="1" applyBorder="1"/>
    <xf numFmtId="9" fontId="8" fillId="7" borderId="6" xfId="1" applyFont="1" applyFill="1" applyBorder="1"/>
    <xf numFmtId="0" fontId="5" fillId="6" borderId="5" xfId="0" applyFont="1" applyFill="1" applyBorder="1" applyAlignment="1">
      <alignment horizontal="left"/>
    </xf>
    <xf numFmtId="0" fontId="5" fillId="6" borderId="5" xfId="0" applyFont="1" applyFill="1" applyBorder="1"/>
    <xf numFmtId="0" fontId="8" fillId="7" borderId="0" xfId="0" applyFont="1" applyFill="1"/>
    <xf numFmtId="9" fontId="5" fillId="6" borderId="5" xfId="1" applyFont="1" applyFill="1" applyBorder="1"/>
    <xf numFmtId="0" fontId="0" fillId="0" borderId="0" xfId="0" applyNumberFormat="1"/>
  </cellXfs>
  <cellStyles count="2">
    <cellStyle name="Normal" xfId="0" builtinId="0"/>
    <cellStyle name="Percent" xfId="1" builtinId="5"/>
  </cellStyles>
  <dxfs count="2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theme="7" tint="0.79998168889431442"/>
        </patternFill>
      </fill>
    </dxf>
    <dxf>
      <fill>
        <patternFill>
          <bgColor rgb="FFFFFF00"/>
        </patternFill>
      </fill>
    </dxf>
  </dxfs>
  <tableStyles count="0" defaultTableStyle="TableStyleMedium2" defaultPivotStyle="PivotStyleLight16"/>
  <colors>
    <mruColors>
      <color rgb="FFFFFFCC"/>
      <color rgb="FF66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2">
                    <a:lumMod val="90000"/>
                    <a:lumOff val="10000"/>
                  </a:schemeClr>
                </a:solidFill>
                <a:latin typeface="+mn-lt"/>
                <a:ea typeface="+mn-ea"/>
                <a:cs typeface="+mn-cs"/>
              </a:defRPr>
            </a:pPr>
            <a:r>
              <a:rPr lang="en-US">
                <a:solidFill>
                  <a:schemeClr val="tx2">
                    <a:lumMod val="90000"/>
                    <a:lumOff val="10000"/>
                  </a:schemeClr>
                </a:solidFill>
                <a:latin typeface="Times New Roman" panose="02020603050405020304" pitchFamily="18" charset="0"/>
                <a:cs typeface="Times New Roman" panose="02020603050405020304" pitchFamily="18" charset="0"/>
              </a:rPr>
              <a:t>HC</a:t>
            </a:r>
            <a:r>
              <a:rPr lang="en-US" baseline="0">
                <a:solidFill>
                  <a:schemeClr val="tx2">
                    <a:lumMod val="90000"/>
                    <a:lumOff val="10000"/>
                  </a:schemeClr>
                </a:solidFill>
                <a:latin typeface="Times New Roman" panose="02020603050405020304" pitchFamily="18" charset="0"/>
                <a:cs typeface="Times New Roman" panose="02020603050405020304" pitchFamily="18" charset="0"/>
              </a:rPr>
              <a:t> GROWTH</a:t>
            </a:r>
          </a:p>
        </c:rich>
      </c:tx>
      <c:layout>
        <c:manualLayout>
          <c:xMode val="edge"/>
          <c:yMode val="edge"/>
          <c:x val="0.259258910366714"/>
          <c:y val="3.7516310521953582E-2"/>
        </c:manualLayout>
      </c:layout>
      <c:overlay val="0"/>
      <c:spPr>
        <a:solidFill>
          <a:sysClr val="window" lastClr="FFFFFF"/>
        </a:solidFill>
        <a:ln>
          <a:noFill/>
        </a:ln>
        <a:effectLst/>
      </c:spPr>
      <c:txPr>
        <a:bodyPr rot="0" spcFirstLastPara="1" vertOverflow="ellipsis" vert="horz" wrap="square" anchor="ctr" anchorCtr="1"/>
        <a:lstStyle/>
        <a:p>
          <a:pPr>
            <a:defRPr sz="1400" b="0" i="0" u="none" strike="noStrike" kern="1200" spc="0" baseline="0">
              <a:solidFill>
                <a:schemeClr val="tx2">
                  <a:lumMod val="90000"/>
                  <a:lumOff val="10000"/>
                </a:schemeClr>
              </a:solidFill>
              <a:latin typeface="+mn-lt"/>
              <a:ea typeface="+mn-ea"/>
              <a:cs typeface="+mn-cs"/>
            </a:defRPr>
          </a:pPr>
          <a:endParaRPr lang="en-US"/>
        </a:p>
      </c:txPr>
    </c:title>
    <c:autoTitleDeleted val="0"/>
    <c:plotArea>
      <c:layout>
        <c:manualLayout>
          <c:layoutTarget val="inner"/>
          <c:xMode val="edge"/>
          <c:yMode val="edge"/>
          <c:x val="9.5401526474664128E-2"/>
          <c:y val="8.9592663176960519E-2"/>
          <c:w val="0.82628108109239651"/>
          <c:h val="0.70940895563706829"/>
        </c:manualLayout>
      </c:layout>
      <c:barChart>
        <c:barDir val="col"/>
        <c:grouping val="stacked"/>
        <c:varyColors val="0"/>
        <c:ser>
          <c:idx val="1"/>
          <c:order val="1"/>
          <c:tx>
            <c:strRef>
              <c:f>Pivot!$E$14</c:f>
              <c:strCache>
                <c:ptCount val="1"/>
                <c:pt idx="0">
                  <c:v>Attrition</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Pivot!$D$15:$D$20</c:f>
              <c:numCache>
                <c:formatCode>General</c:formatCode>
                <c:ptCount val="6"/>
                <c:pt idx="0">
                  <c:v>2020</c:v>
                </c:pt>
                <c:pt idx="1">
                  <c:v>2021</c:v>
                </c:pt>
                <c:pt idx="2">
                  <c:v>2022</c:v>
                </c:pt>
                <c:pt idx="3">
                  <c:v>2023</c:v>
                </c:pt>
                <c:pt idx="4">
                  <c:v>2024</c:v>
                </c:pt>
                <c:pt idx="5">
                  <c:v>2025</c:v>
                </c:pt>
              </c:numCache>
            </c:numRef>
          </c:cat>
          <c:val>
            <c:numRef>
              <c:f>Pivot!$E$15:$E$20</c:f>
              <c:numCache>
                <c:formatCode>General</c:formatCode>
                <c:ptCount val="6"/>
                <c:pt idx="0">
                  <c:v>0</c:v>
                </c:pt>
                <c:pt idx="1">
                  <c:v>6</c:v>
                </c:pt>
                <c:pt idx="2">
                  <c:v>9</c:v>
                </c:pt>
                <c:pt idx="3">
                  <c:v>9</c:v>
                </c:pt>
                <c:pt idx="4">
                  <c:v>17</c:v>
                </c:pt>
                <c:pt idx="5">
                  <c:v>6</c:v>
                </c:pt>
              </c:numCache>
            </c:numRef>
          </c:val>
          <c:extLst>
            <c:ext xmlns:c16="http://schemas.microsoft.com/office/drawing/2014/chart" uri="{C3380CC4-5D6E-409C-BE32-E72D297353CC}">
              <c16:uniqueId val="{00000000-34E6-4383-AEA1-C528BF6ECCB9}"/>
            </c:ext>
          </c:extLst>
        </c:ser>
        <c:ser>
          <c:idx val="2"/>
          <c:order val="2"/>
          <c:tx>
            <c:strRef>
              <c:f>Pivot!$F$14</c:f>
              <c:strCache>
                <c:ptCount val="1"/>
                <c:pt idx="0">
                  <c:v>On-Board</c:v>
                </c:pt>
              </c:strCache>
            </c:strRef>
          </c:tx>
          <c:spPr>
            <a:solidFill>
              <a:schemeClr val="accent5">
                <a:lumMod val="40000"/>
                <a:lumOff val="60000"/>
              </a:schemeClr>
            </a:solidFill>
            <a:ln>
              <a:noFill/>
            </a:ln>
            <a:effectLst>
              <a:innerShdw blurRad="63500" dist="50800" dir="16200000">
                <a:prstClr val="black">
                  <a:alpha val="50000"/>
                </a:prst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Pivot!$D$15:$D$20</c:f>
              <c:numCache>
                <c:formatCode>General</c:formatCode>
                <c:ptCount val="6"/>
                <c:pt idx="0">
                  <c:v>2020</c:v>
                </c:pt>
                <c:pt idx="1">
                  <c:v>2021</c:v>
                </c:pt>
                <c:pt idx="2">
                  <c:v>2022</c:v>
                </c:pt>
                <c:pt idx="3">
                  <c:v>2023</c:v>
                </c:pt>
                <c:pt idx="4">
                  <c:v>2024</c:v>
                </c:pt>
                <c:pt idx="5">
                  <c:v>2025</c:v>
                </c:pt>
              </c:numCache>
            </c:numRef>
          </c:cat>
          <c:val>
            <c:numRef>
              <c:f>Pivot!$F$15:$F$20</c:f>
              <c:numCache>
                <c:formatCode>General</c:formatCode>
                <c:ptCount val="6"/>
                <c:pt idx="0">
                  <c:v>43</c:v>
                </c:pt>
                <c:pt idx="1">
                  <c:v>17</c:v>
                </c:pt>
                <c:pt idx="2">
                  <c:v>20</c:v>
                </c:pt>
                <c:pt idx="3">
                  <c:v>26</c:v>
                </c:pt>
                <c:pt idx="4">
                  <c:v>8</c:v>
                </c:pt>
                <c:pt idx="5">
                  <c:v>4</c:v>
                </c:pt>
              </c:numCache>
            </c:numRef>
          </c:val>
          <c:extLst>
            <c:ext xmlns:c16="http://schemas.microsoft.com/office/drawing/2014/chart" uri="{C3380CC4-5D6E-409C-BE32-E72D297353CC}">
              <c16:uniqueId val="{00000001-34E6-4383-AEA1-C528BF6ECCB9}"/>
            </c:ext>
          </c:extLst>
        </c:ser>
        <c:ser>
          <c:idx val="3"/>
          <c:order val="3"/>
          <c:tx>
            <c:strRef>
              <c:f>Pivot!$G$14</c:f>
              <c:strCache>
                <c:ptCount val="1"/>
                <c:pt idx="0">
                  <c:v>Transfer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Pivot!$D$15:$D$20</c:f>
              <c:numCache>
                <c:formatCode>General</c:formatCode>
                <c:ptCount val="6"/>
                <c:pt idx="0">
                  <c:v>2020</c:v>
                </c:pt>
                <c:pt idx="1">
                  <c:v>2021</c:v>
                </c:pt>
                <c:pt idx="2">
                  <c:v>2022</c:v>
                </c:pt>
                <c:pt idx="3">
                  <c:v>2023</c:v>
                </c:pt>
                <c:pt idx="4">
                  <c:v>2024</c:v>
                </c:pt>
                <c:pt idx="5">
                  <c:v>2025</c:v>
                </c:pt>
              </c:numCache>
            </c:numRef>
          </c:cat>
          <c:val>
            <c:numRef>
              <c:f>Pivot!$G$15:$G$20</c:f>
              <c:numCache>
                <c:formatCode>General</c:formatCode>
                <c:ptCount val="6"/>
                <c:pt idx="0">
                  <c:v>0</c:v>
                </c:pt>
                <c:pt idx="1">
                  <c:v>2</c:v>
                </c:pt>
                <c:pt idx="2">
                  <c:v>4</c:v>
                </c:pt>
                <c:pt idx="3">
                  <c:v>0</c:v>
                </c:pt>
                <c:pt idx="4">
                  <c:v>0</c:v>
                </c:pt>
                <c:pt idx="5">
                  <c:v>0</c:v>
                </c:pt>
              </c:numCache>
            </c:numRef>
          </c:val>
          <c:extLst>
            <c:ext xmlns:c16="http://schemas.microsoft.com/office/drawing/2014/chart" uri="{C3380CC4-5D6E-409C-BE32-E72D297353CC}">
              <c16:uniqueId val="{00000002-34E6-4383-AEA1-C528BF6ECCB9}"/>
            </c:ext>
          </c:extLst>
        </c:ser>
        <c:dLbls>
          <c:showLegendKey val="0"/>
          <c:showVal val="1"/>
          <c:showCatName val="0"/>
          <c:showSerName val="0"/>
          <c:showPercent val="0"/>
          <c:showBubbleSize val="0"/>
        </c:dLbls>
        <c:gapWidth val="65"/>
        <c:overlap val="100"/>
        <c:axId val="1456061120"/>
        <c:axId val="1456045280"/>
        <c:extLst>
          <c:ext xmlns:c15="http://schemas.microsoft.com/office/drawing/2012/chart" uri="{02D57815-91ED-43cb-92C2-25804820EDAC}">
            <c15:filteredBarSeries>
              <c15:ser>
                <c:idx val="0"/>
                <c:order val="0"/>
                <c:tx>
                  <c:strRef>
                    <c:extLst>
                      <c:ext uri="{02D57815-91ED-43cb-92C2-25804820EDAC}">
                        <c15:formulaRef>
                          <c15:sqref>Pivot!$D$14</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Pivot!$D$15:$D$20</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Pivot!$D$15:$D$20</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34E6-4383-AEA1-C528BF6ECCB9}"/>
                  </c:ext>
                </c:extLst>
              </c15:ser>
            </c15:filteredBarSeries>
          </c:ext>
        </c:extLst>
      </c:barChart>
      <c:lineChart>
        <c:grouping val="stacked"/>
        <c:varyColors val="0"/>
        <c:ser>
          <c:idx val="4"/>
          <c:order val="4"/>
          <c:tx>
            <c:strRef>
              <c:f>Pivot!$H$14</c:f>
              <c:strCache>
                <c:ptCount val="1"/>
                <c:pt idx="0">
                  <c:v>HC GROWTH</c:v>
                </c:pt>
              </c:strCache>
            </c:strRef>
          </c:tx>
          <c:spPr>
            <a:ln w="28575" cap="rnd">
              <a:solidFill>
                <a:schemeClr val="accent5"/>
              </a:solidFill>
              <a:round/>
            </a:ln>
            <a:effectLst>
              <a:outerShdw blurRad="50800" dist="38100" dir="2700000" algn="tl" rotWithShape="0">
                <a:prstClr val="black">
                  <a:alpha val="40000"/>
                </a:prstClr>
              </a:outerShdw>
            </a:effectLst>
          </c:spPr>
          <c:marker>
            <c:symbol val="none"/>
          </c:marker>
          <c:dLbls>
            <c:spPr>
              <a:solidFill>
                <a:srgbClr val="FFFFCC"/>
              </a:solidFill>
              <a:ln>
                <a:solidFill>
                  <a:sysClr val="windowText" lastClr="000000">
                    <a:lumMod val="25000"/>
                    <a:lumOff val="75000"/>
                  </a:sysClr>
                </a:solidFill>
              </a:ln>
              <a:effectLst>
                <a:innerShdw blurRad="63500" dist="50800" dir="13500000">
                  <a:prstClr val="black">
                    <a:alpha val="50000"/>
                  </a:prstClr>
                </a:innerShdw>
              </a:effectLst>
            </c:spPr>
            <c:txPr>
              <a:bodyPr rot="0" spcFirstLastPara="1" vertOverflow="clip" horzOverflow="clip" vert="horz" wrap="square" lIns="36576" tIns="18288" rIns="36576" bIns="18288" anchor="ctr" anchorCtr="0">
                <a:spAutoFit/>
              </a:bodyPr>
              <a:lstStyle/>
              <a:p>
                <a:pPr algn="l">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Pivot!$H$15:$H$20</c:f>
              <c:numCache>
                <c:formatCode>General</c:formatCode>
                <c:ptCount val="6"/>
                <c:pt idx="0">
                  <c:v>43</c:v>
                </c:pt>
                <c:pt idx="1">
                  <c:v>60</c:v>
                </c:pt>
                <c:pt idx="2">
                  <c:v>80</c:v>
                </c:pt>
                <c:pt idx="3">
                  <c:v>106</c:v>
                </c:pt>
                <c:pt idx="4">
                  <c:v>114</c:v>
                </c:pt>
                <c:pt idx="5">
                  <c:v>118</c:v>
                </c:pt>
              </c:numCache>
            </c:numRef>
          </c:val>
          <c:smooth val="0"/>
          <c:extLst>
            <c:ext xmlns:c16="http://schemas.microsoft.com/office/drawing/2014/chart" uri="{C3380CC4-5D6E-409C-BE32-E72D297353CC}">
              <c16:uniqueId val="{00000003-34E6-4383-AEA1-C528BF6ECCB9}"/>
            </c:ext>
          </c:extLst>
        </c:ser>
        <c:dLbls>
          <c:showLegendKey val="0"/>
          <c:showVal val="1"/>
          <c:showCatName val="0"/>
          <c:showSerName val="0"/>
          <c:showPercent val="0"/>
          <c:showBubbleSize val="0"/>
        </c:dLbls>
        <c:marker val="1"/>
        <c:smooth val="0"/>
        <c:axId val="1456067360"/>
        <c:axId val="1456066400"/>
      </c:lineChart>
      <c:catAx>
        <c:axId val="1456061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6045280"/>
        <c:crosses val="autoZero"/>
        <c:auto val="1"/>
        <c:lblAlgn val="ctr"/>
        <c:lblOffset val="100"/>
        <c:noMultiLvlLbl val="0"/>
      </c:catAx>
      <c:valAx>
        <c:axId val="14560452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6061120"/>
        <c:crosses val="autoZero"/>
        <c:crossBetween val="between"/>
      </c:valAx>
      <c:valAx>
        <c:axId val="145606640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6067360"/>
        <c:crosses val="max"/>
        <c:crossBetween val="between"/>
      </c:valAx>
      <c:catAx>
        <c:axId val="1456067360"/>
        <c:scaling>
          <c:orientation val="minMax"/>
        </c:scaling>
        <c:delete val="1"/>
        <c:axPos val="b"/>
        <c:majorTickMark val="none"/>
        <c:minorTickMark val="none"/>
        <c:tickLblPos val="nextTo"/>
        <c:crossAx val="14560664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solidFill>
                  <a:schemeClr val="tx2"/>
                </a:solidFill>
                <a:latin typeface="Times New Roman" panose="02020603050405020304" pitchFamily="18" charset="0"/>
                <a:cs typeface="Times New Roman" panose="02020603050405020304" pitchFamily="18" charset="0"/>
              </a:rPr>
              <a:t>DIVERCITY</a:t>
            </a:r>
            <a:r>
              <a:rPr lang="en-US" sz="1200" baseline="0">
                <a:solidFill>
                  <a:schemeClr val="tx2"/>
                </a:solidFill>
                <a:latin typeface="Times New Roman" panose="02020603050405020304" pitchFamily="18" charset="0"/>
                <a:cs typeface="Times New Roman" panose="02020603050405020304" pitchFamily="18" charset="0"/>
              </a:rPr>
              <a:t> %</a:t>
            </a:r>
            <a:endParaRPr lang="en-US" sz="1200">
              <a:solidFill>
                <a:schemeClr val="tx2"/>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2626436781609193E-2"/>
          <c:y val="0.20711478758169938"/>
          <c:w val="0.56934257770953778"/>
          <c:h val="0.72677141787336341"/>
        </c:manualLayout>
      </c:layout>
      <c:doughnutChart>
        <c:varyColors val="1"/>
        <c:ser>
          <c:idx val="0"/>
          <c:order val="0"/>
          <c:tx>
            <c:strRef>
              <c:f>Pivot!$J$14</c:f>
              <c:strCache>
                <c:ptCount val="1"/>
                <c:pt idx="0">
                  <c:v>HEADCOUNT</c:v>
                </c:pt>
              </c:strCache>
            </c:strRef>
          </c:tx>
          <c:spPr>
            <a:solidFill>
              <a:srgbClr val="6699FF"/>
            </a:solidFill>
            <a:effectLst>
              <a:outerShdw blurRad="50800" dist="38100" algn="l" rotWithShape="0">
                <a:prstClr val="black">
                  <a:alpha val="40000"/>
                </a:prstClr>
              </a:outerShdw>
            </a:effectLst>
          </c:spPr>
          <c:dPt>
            <c:idx val="0"/>
            <c:bubble3D val="0"/>
            <c:spPr>
              <a:solidFill>
                <a:schemeClr val="accent5">
                  <a:lumMod val="60000"/>
                  <a:lumOff val="40000"/>
                </a:schemeClr>
              </a:solidFill>
              <a:ln w="19050">
                <a:solidFill>
                  <a:schemeClr val="lt1"/>
                </a:solidFill>
              </a:ln>
              <a:effectLst>
                <a:outerShdw blurRad="50800" dist="38100" algn="l" rotWithShape="0">
                  <a:prstClr val="black">
                    <a:alpha val="40000"/>
                  </a:prstClr>
                </a:outerShdw>
              </a:effectLst>
            </c:spPr>
            <c:extLst>
              <c:ext xmlns:c16="http://schemas.microsoft.com/office/drawing/2014/chart" uri="{C3380CC4-5D6E-409C-BE32-E72D297353CC}">
                <c16:uniqueId val="{00000001-E14B-4C44-A2E5-3DDAEFA2A1CC}"/>
              </c:ext>
            </c:extLst>
          </c:dPt>
          <c:dPt>
            <c:idx val="1"/>
            <c:bubble3D val="0"/>
            <c:spPr>
              <a:solidFill>
                <a:srgbClr val="6699FF"/>
              </a:solidFill>
              <a:ln w="19050">
                <a:solidFill>
                  <a:schemeClr val="lt1"/>
                </a:solidFill>
              </a:ln>
              <a:effectLst>
                <a:outerShdw blurRad="50800" dist="38100" algn="l" rotWithShape="0">
                  <a:prstClr val="black">
                    <a:alpha val="40000"/>
                  </a:prstClr>
                </a:outerShdw>
              </a:effectLst>
            </c:spPr>
            <c:extLst>
              <c:ext xmlns:c16="http://schemas.microsoft.com/office/drawing/2014/chart" uri="{C3380CC4-5D6E-409C-BE32-E72D297353CC}">
                <c16:uniqueId val="{00000003-E14B-4C44-A2E5-3DDAEFA2A1CC}"/>
              </c:ext>
            </c:extLst>
          </c:dPt>
          <c:dLbls>
            <c:dLbl>
              <c:idx val="0"/>
              <c:layout>
                <c:manualLayout>
                  <c:x val="0.18671487867177522"/>
                  <c:y val="0.37882291666666679"/>
                </c:manualLayout>
              </c:layout>
              <c:showLegendKey val="0"/>
              <c:showVal val="0"/>
              <c:showCatName val="1"/>
              <c:showSerName val="0"/>
              <c:showPercent val="1"/>
              <c:showBubbleSize val="0"/>
              <c:extLst>
                <c:ext xmlns:c15="http://schemas.microsoft.com/office/drawing/2012/chart" uri="{CE6537A1-D6FC-4f65-9D91-7224C49458BB}">
                  <c15:layout>
                    <c:manualLayout>
                      <c:w val="0.2459734993614304"/>
                      <c:h val="0.19280433006535946"/>
                    </c:manualLayout>
                  </c15:layout>
                </c:ext>
                <c:ext xmlns:c16="http://schemas.microsoft.com/office/drawing/2014/chart" uri="{C3380CC4-5D6E-409C-BE32-E72D297353CC}">
                  <c16:uniqueId val="{00000001-E14B-4C44-A2E5-3DDAEFA2A1CC}"/>
                </c:ext>
              </c:extLst>
            </c:dLbl>
            <c:dLbl>
              <c:idx val="1"/>
              <c:layout>
                <c:manualLayout>
                  <c:x val="-6.7014367816091949E-2"/>
                  <c:y val="-0.53418075980392155"/>
                </c:manualLayout>
              </c:layout>
              <c:showLegendKey val="0"/>
              <c:showVal val="0"/>
              <c:showCatName val="1"/>
              <c:showSerName val="0"/>
              <c:showPercent val="1"/>
              <c:showBubbleSize val="0"/>
              <c:extLst>
                <c:ext xmlns:c15="http://schemas.microsoft.com/office/drawing/2012/chart" uri="{CE6537A1-D6FC-4f65-9D91-7224C49458BB}">
                  <c15:layout>
                    <c:manualLayout>
                      <c:w val="0.1952337164750958"/>
                      <c:h val="0.19280433006535946"/>
                    </c:manualLayout>
                  </c15:layout>
                </c:ext>
                <c:ext xmlns:c16="http://schemas.microsoft.com/office/drawing/2014/chart" uri="{C3380CC4-5D6E-409C-BE32-E72D297353CC}">
                  <c16:uniqueId val="{00000003-E14B-4C44-A2E5-3DDAEFA2A1CC}"/>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Pivot!$I$15:$I$16</c:f>
              <c:strCache>
                <c:ptCount val="2"/>
                <c:pt idx="0">
                  <c:v>Female</c:v>
                </c:pt>
                <c:pt idx="1">
                  <c:v>Male</c:v>
                </c:pt>
              </c:strCache>
            </c:strRef>
          </c:cat>
          <c:val>
            <c:numRef>
              <c:f>Pivot!$J$15:$J$16</c:f>
              <c:numCache>
                <c:formatCode>General</c:formatCode>
                <c:ptCount val="2"/>
                <c:pt idx="0">
                  <c:v>45</c:v>
                </c:pt>
                <c:pt idx="1">
                  <c:v>73</c:v>
                </c:pt>
              </c:numCache>
            </c:numRef>
          </c:val>
          <c:extLst>
            <c:ext xmlns:c16="http://schemas.microsoft.com/office/drawing/2014/chart" uri="{C3380CC4-5D6E-409C-BE32-E72D297353CC}">
              <c16:uniqueId val="{00000004-E14B-4C44-A2E5-3DDAEFA2A1CC}"/>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IN" sz="1200" b="0" i="0" u="none" strike="noStrike" kern="1200" spc="0" baseline="0">
                <a:solidFill>
                  <a:schemeClr val="tx2"/>
                </a:solidFill>
                <a:latin typeface="Times New Roman" panose="02020603050405020304" pitchFamily="18" charset="0"/>
                <a:ea typeface="+mn-ea"/>
                <a:cs typeface="Times New Roman" panose="02020603050405020304" pitchFamily="18" charset="0"/>
              </a:defRPr>
            </a:pPr>
            <a:r>
              <a:rPr lang="en-IN" sz="1200" b="0" i="0" u="none" strike="noStrike" kern="1200" spc="0" baseline="0">
                <a:solidFill>
                  <a:schemeClr val="tx2"/>
                </a:solidFill>
                <a:latin typeface="Times New Roman" panose="02020603050405020304" pitchFamily="18" charset="0"/>
                <a:ea typeface="+mn-ea"/>
                <a:cs typeface="Times New Roman" panose="02020603050405020304" pitchFamily="18" charset="0"/>
              </a:rPr>
              <a:t>JOB LEVEL%</a:t>
            </a:r>
          </a:p>
        </c:rich>
      </c:tx>
      <c:overlay val="0"/>
      <c:spPr>
        <a:noFill/>
        <a:ln>
          <a:noFill/>
        </a:ln>
        <a:effectLst/>
      </c:spPr>
      <c:txPr>
        <a:bodyPr rot="0" spcFirstLastPara="1" vertOverflow="ellipsis" vert="horz" wrap="square" anchor="ctr" anchorCtr="1"/>
        <a:lstStyle/>
        <a:p>
          <a:pPr algn="ctr" rtl="0">
            <a:defRPr lang="en-IN" sz="1200" b="0" i="0" u="none" strike="noStrike" kern="1200" spc="0" baseline="0">
              <a:solidFill>
                <a:schemeClr val="tx2"/>
              </a:solidFill>
              <a:latin typeface="Times New Roman" panose="02020603050405020304" pitchFamily="18" charset="0"/>
              <a:ea typeface="+mn-ea"/>
              <a:cs typeface="Times New Roman" panose="02020603050405020304" pitchFamily="18" charset="0"/>
            </a:defRPr>
          </a:pPr>
          <a:endParaRPr lang="en-US"/>
        </a:p>
      </c:txPr>
    </c:title>
    <c:autoTitleDeleted val="0"/>
    <c:view3D>
      <c:rotX val="15"/>
      <c:rotY val="2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5031929788154377E-2"/>
          <c:y val="4.6747809719702327E-2"/>
          <c:w val="0.93496807021184569"/>
          <c:h val="0.9263203937815121"/>
        </c:manualLayout>
      </c:layout>
      <c:bar3DChart>
        <c:barDir val="col"/>
        <c:grouping val="stacked"/>
        <c:varyColors val="0"/>
        <c:ser>
          <c:idx val="0"/>
          <c:order val="0"/>
          <c:tx>
            <c:strRef>
              <c:f>Pivot!$M$15</c:f>
              <c:strCache>
                <c:ptCount val="1"/>
                <c:pt idx="0">
                  <c:v>Contract</c:v>
                </c:pt>
              </c:strCache>
            </c:strRef>
          </c:tx>
          <c:spPr>
            <a:solidFill>
              <a:schemeClr val="accent1"/>
            </a:solidFill>
            <a:ln>
              <a:noFill/>
            </a:ln>
            <a:effectLst/>
            <a:sp3d/>
          </c:spPr>
          <c:invertIfNegative val="0"/>
          <c:dLbls>
            <c:dLbl>
              <c:idx val="0"/>
              <c:layout>
                <c:manualLayout>
                  <c:x val="-0.34437654341206358"/>
                  <c:y val="6.674331434928686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6AC0-41CD-9D4E-0DA6F8393ADA}"/>
                </c:ext>
              </c:extLst>
            </c:dLbl>
            <c:spPr>
              <a:noFill/>
              <a:ln>
                <a:noFill/>
              </a:ln>
              <a:effectLst/>
            </c:spPr>
            <c:txPr>
              <a:bodyPr rot="0" spcFirstLastPara="1" vertOverflow="ellipsis" vert="horz" wrap="square" lIns="38100" tIns="19050" rIns="38100" bIns="19050" anchor="ctr" anchorCtr="0">
                <a:spAutoFit/>
              </a:bodyPr>
              <a:lstStyle/>
              <a:p>
                <a:pPr algn="ctr" rtl="0">
                  <a:defRPr lang="en-US" sz="1000" b="0" i="0" u="none" strike="noStrike" kern="1200" baseline="0">
                    <a:solidFill>
                      <a:sysClr val="windowText" lastClr="000000">
                        <a:lumMod val="75000"/>
                        <a:lumOff val="25000"/>
                      </a:sys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Pivot!$N$14:$O$14</c15:sqref>
                  </c15:fullRef>
                </c:ext>
              </c:extLst>
              <c:f>Pivot!$O$14</c:f>
              <c:strCache>
                <c:ptCount val="1"/>
                <c:pt idx="0">
                  <c:v>HC%</c:v>
                </c:pt>
              </c:strCache>
            </c:strRef>
          </c:cat>
          <c:val>
            <c:numRef>
              <c:extLst>
                <c:ext xmlns:c15="http://schemas.microsoft.com/office/drawing/2012/chart" uri="{02D57815-91ED-43cb-92C2-25804820EDAC}">
                  <c15:fullRef>
                    <c15:sqref>Pivot!$N$15:$O$15</c15:sqref>
                  </c15:fullRef>
                </c:ext>
              </c:extLst>
              <c:f>Pivot!$O$15</c:f>
              <c:numCache>
                <c:formatCode>0%</c:formatCode>
                <c:ptCount val="1"/>
                <c:pt idx="0">
                  <c:v>0.11016949152542373</c:v>
                </c:pt>
              </c:numCache>
            </c:numRef>
          </c:val>
          <c:extLst>
            <c:ext xmlns:c16="http://schemas.microsoft.com/office/drawing/2014/chart" uri="{C3380CC4-5D6E-409C-BE32-E72D297353CC}">
              <c16:uniqueId val="{00000000-6AC0-41CD-9D4E-0DA6F8393ADA}"/>
            </c:ext>
          </c:extLst>
        </c:ser>
        <c:ser>
          <c:idx val="1"/>
          <c:order val="1"/>
          <c:tx>
            <c:strRef>
              <c:f>Pivot!$M$16</c:f>
              <c:strCache>
                <c:ptCount val="1"/>
                <c:pt idx="0">
                  <c:v>Trainees</c:v>
                </c:pt>
              </c:strCache>
            </c:strRef>
          </c:tx>
          <c:spPr>
            <a:solidFill>
              <a:schemeClr val="accent6">
                <a:lumMod val="40000"/>
                <a:lumOff val="60000"/>
              </a:schemeClr>
            </a:solidFill>
            <a:ln>
              <a:noFill/>
            </a:ln>
            <a:effectLst>
              <a:innerShdw blurRad="63500" dist="50800" dir="18900000">
                <a:prstClr val="black">
                  <a:alpha val="50000"/>
                </a:prstClr>
              </a:innerShdw>
            </a:effectLst>
            <a:scene3d>
              <a:camera prst="orthographicFront"/>
              <a:lightRig rig="threePt" dir="t"/>
            </a:scene3d>
            <a:sp3d/>
          </c:spPr>
          <c:invertIfNegative val="0"/>
          <c:dLbls>
            <c:dLbl>
              <c:idx val="0"/>
              <c:layout>
                <c:manualLayout>
                  <c:x val="-0.32732819967879312"/>
                  <c:y val="-6.674331434928704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6AC0-41CD-9D4E-0DA6F8393ADA}"/>
                </c:ext>
              </c:extLst>
            </c:dLbl>
            <c:spPr>
              <a:noFill/>
              <a:ln>
                <a:noFill/>
              </a:ln>
              <a:effectLst/>
            </c:spPr>
            <c:txPr>
              <a:bodyPr rot="0" spcFirstLastPara="1" vertOverflow="ellipsis" vert="horz" wrap="square" lIns="38100" tIns="19050" rIns="38100" bIns="19050" anchor="ctr" anchorCtr="0">
                <a:spAutoFit/>
              </a:bodyPr>
              <a:lstStyle/>
              <a:p>
                <a:pPr algn="ctr" rtl="0">
                  <a:defRPr lang="en-US" sz="1000" b="0" i="0" u="none" strike="noStrike" kern="1200" baseline="0">
                    <a:solidFill>
                      <a:sysClr val="windowText" lastClr="000000">
                        <a:lumMod val="75000"/>
                        <a:lumOff val="25000"/>
                      </a:sys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Pivot!$N$14:$O$14</c15:sqref>
                  </c15:fullRef>
                </c:ext>
              </c:extLst>
              <c:f>Pivot!$O$14</c:f>
              <c:strCache>
                <c:ptCount val="1"/>
                <c:pt idx="0">
                  <c:v>HC%</c:v>
                </c:pt>
              </c:strCache>
            </c:strRef>
          </c:cat>
          <c:val>
            <c:numRef>
              <c:extLst>
                <c:ext xmlns:c15="http://schemas.microsoft.com/office/drawing/2012/chart" uri="{02D57815-91ED-43cb-92C2-25804820EDAC}">
                  <c15:fullRef>
                    <c15:sqref>Pivot!$N$16:$O$16</c15:sqref>
                  </c15:fullRef>
                </c:ext>
              </c:extLst>
              <c:f>Pivot!$O$16</c:f>
              <c:numCache>
                <c:formatCode>0%</c:formatCode>
                <c:ptCount val="1"/>
                <c:pt idx="0">
                  <c:v>0.34745762711864409</c:v>
                </c:pt>
              </c:numCache>
            </c:numRef>
          </c:val>
          <c:extLst>
            <c:ext xmlns:c16="http://schemas.microsoft.com/office/drawing/2014/chart" uri="{C3380CC4-5D6E-409C-BE32-E72D297353CC}">
              <c16:uniqueId val="{00000001-6AC0-41CD-9D4E-0DA6F8393ADA}"/>
            </c:ext>
          </c:extLst>
        </c:ser>
        <c:ser>
          <c:idx val="2"/>
          <c:order val="2"/>
          <c:tx>
            <c:strRef>
              <c:f>Pivot!$M$17</c:f>
              <c:strCache>
                <c:ptCount val="1"/>
                <c:pt idx="0">
                  <c:v>Professional</c:v>
                </c:pt>
              </c:strCache>
            </c:strRef>
          </c:tx>
          <c:spPr>
            <a:solidFill>
              <a:schemeClr val="accent5">
                <a:lumMod val="40000"/>
                <a:lumOff val="60000"/>
              </a:schemeClr>
            </a:solidFill>
            <a:ln>
              <a:noFill/>
            </a:ln>
            <a:effectLst/>
            <a:sp3d/>
          </c:spPr>
          <c:invertIfNegative val="0"/>
          <c:dPt>
            <c:idx val="0"/>
            <c:invertIfNegative val="0"/>
            <c:bubble3D val="0"/>
            <c:spPr>
              <a:solidFill>
                <a:schemeClr val="accent5">
                  <a:lumMod val="40000"/>
                  <a:lumOff val="60000"/>
                </a:schemeClr>
              </a:solidFill>
              <a:ln>
                <a:noFill/>
              </a:ln>
              <a:effectLst>
                <a:outerShdw blurRad="50800" dist="38100" dir="2700000" algn="tl" rotWithShape="0">
                  <a:prstClr val="black">
                    <a:alpha val="40000"/>
                  </a:prstClr>
                </a:outerShdw>
              </a:effectLst>
              <a:scene3d>
                <a:camera prst="orthographicFront"/>
                <a:lightRig rig="threePt" dir="t"/>
              </a:scene3d>
              <a:sp3d/>
            </c:spPr>
            <c:extLst>
              <c:ext xmlns:c16="http://schemas.microsoft.com/office/drawing/2014/chart" uri="{C3380CC4-5D6E-409C-BE32-E72D297353CC}">
                <c16:uniqueId val="{00000005-6AC0-41CD-9D4E-0DA6F8393ADA}"/>
              </c:ext>
            </c:extLst>
          </c:dPt>
          <c:dLbls>
            <c:dLbl>
              <c:idx val="0"/>
              <c:layout>
                <c:manualLayout>
                  <c:x val="-0.29152667783892522"/>
                  <c:y val="-6.6743314349287042E-2"/>
                </c:manualLayout>
              </c:layout>
              <c:spPr>
                <a:noFill/>
                <a:ln>
                  <a:noFill/>
                </a:ln>
                <a:effectLst/>
              </c:spPr>
              <c:txPr>
                <a:bodyPr rot="0" spcFirstLastPara="1" vertOverflow="ellipsis" vert="horz" wrap="square" lIns="38100" tIns="19050" rIns="38100" bIns="19050" anchor="ctr" anchorCtr="0">
                  <a:noAutofit/>
                </a:bodyPr>
                <a:lstStyle/>
                <a:p>
                  <a:pPr algn="ctr" rtl="0">
                    <a:defRPr lang="en-US" sz="1000" b="0" i="0" u="none" strike="noStrike" kern="1200" baseline="0">
                      <a:solidFill>
                        <a:sysClr val="windowText" lastClr="000000">
                          <a:lumMod val="75000"/>
                          <a:lumOff val="25000"/>
                        </a:sys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1"/>
              <c:showPercent val="0"/>
              <c:showBubbleSize val="0"/>
              <c:extLst>
                <c:ext xmlns:c15="http://schemas.microsoft.com/office/drawing/2012/chart" uri="{CE6537A1-D6FC-4f65-9D91-7224C49458BB}">
                  <c15:layout>
                    <c:manualLayout>
                      <c:w val="0.23494309074927333"/>
                      <c:h val="0.15099391346250246"/>
                    </c:manualLayout>
                  </c15:layout>
                </c:ext>
                <c:ext xmlns:c16="http://schemas.microsoft.com/office/drawing/2014/chart" uri="{C3380CC4-5D6E-409C-BE32-E72D297353CC}">
                  <c16:uniqueId val="{00000005-6AC0-41CD-9D4E-0DA6F8393ADA}"/>
                </c:ext>
              </c:extLst>
            </c:dLbl>
            <c:spPr>
              <a:noFill/>
              <a:ln>
                <a:noFill/>
              </a:ln>
              <a:effectLst/>
            </c:spPr>
            <c:txPr>
              <a:bodyPr rot="0" spcFirstLastPara="1" vertOverflow="ellipsis" vert="horz" wrap="square" lIns="38100" tIns="19050" rIns="38100" bIns="19050" anchor="ctr" anchorCtr="0">
                <a:spAutoFit/>
              </a:bodyPr>
              <a:lstStyle/>
              <a:p>
                <a:pPr algn="ctr" rtl="0">
                  <a:defRPr lang="en-US" sz="1000" b="0" i="0" u="none" strike="noStrike" kern="1200" baseline="0">
                    <a:solidFill>
                      <a:sysClr val="windowText" lastClr="000000">
                        <a:lumMod val="75000"/>
                        <a:lumOff val="25000"/>
                      </a:sys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Pivot!$N$14:$O$14</c15:sqref>
                  </c15:fullRef>
                </c:ext>
              </c:extLst>
              <c:f>Pivot!$O$14</c:f>
              <c:strCache>
                <c:ptCount val="1"/>
                <c:pt idx="0">
                  <c:v>HC%</c:v>
                </c:pt>
              </c:strCache>
            </c:strRef>
          </c:cat>
          <c:val>
            <c:numRef>
              <c:extLst>
                <c:ext xmlns:c15="http://schemas.microsoft.com/office/drawing/2012/chart" uri="{02D57815-91ED-43cb-92C2-25804820EDAC}">
                  <c15:fullRef>
                    <c15:sqref>Pivot!$N$17:$O$17</c15:sqref>
                  </c15:fullRef>
                </c:ext>
              </c:extLst>
              <c:f>Pivot!$O$17</c:f>
              <c:numCache>
                <c:formatCode>0%</c:formatCode>
                <c:ptCount val="1"/>
                <c:pt idx="0">
                  <c:v>0.36440677966101692</c:v>
                </c:pt>
              </c:numCache>
            </c:numRef>
          </c:val>
          <c:extLst>
            <c:ext xmlns:c16="http://schemas.microsoft.com/office/drawing/2014/chart" uri="{C3380CC4-5D6E-409C-BE32-E72D297353CC}">
              <c16:uniqueId val="{00000002-6AC0-41CD-9D4E-0DA6F8393ADA}"/>
            </c:ext>
          </c:extLst>
        </c:ser>
        <c:ser>
          <c:idx val="3"/>
          <c:order val="3"/>
          <c:tx>
            <c:strRef>
              <c:f>Pivot!$M$18</c:f>
              <c:strCache>
                <c:ptCount val="1"/>
                <c:pt idx="0">
                  <c:v>Management</c:v>
                </c:pt>
              </c:strCache>
            </c:strRef>
          </c:tx>
          <c:spPr>
            <a:solidFill>
              <a:schemeClr val="accent4"/>
            </a:solidFill>
            <a:ln>
              <a:noFill/>
            </a:ln>
            <a:effectLst/>
            <a:sp3d/>
          </c:spPr>
          <c:invertIfNegative val="0"/>
          <c:dLbls>
            <c:dLbl>
              <c:idx val="0"/>
              <c:layout>
                <c:manualLayout>
                  <c:x val="-0.32562336530546604"/>
                  <c:y val="-0.12835252759478277"/>
                </c:manualLayout>
              </c:layout>
              <c:showLegendKey val="0"/>
              <c:showVal val="1"/>
              <c:showCatName val="0"/>
              <c:showSerName val="1"/>
              <c:showPercent val="0"/>
              <c:showBubbleSize val="0"/>
              <c:extLst>
                <c:ext xmlns:c15="http://schemas.microsoft.com/office/drawing/2012/chart" uri="{CE6537A1-D6FC-4f65-9D91-7224C49458BB}">
                  <c15:layout>
                    <c:manualLayout>
                      <c:w val="0.23398838350021017"/>
                      <c:h val="0.14704065561258314"/>
                    </c:manualLayout>
                  </c15:layout>
                </c:ext>
                <c:ext xmlns:c16="http://schemas.microsoft.com/office/drawing/2014/chart" uri="{C3380CC4-5D6E-409C-BE32-E72D297353CC}">
                  <c16:uniqueId val="{00000004-6AC0-41CD-9D4E-0DA6F8393AD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Pivot!$N$14:$O$14</c15:sqref>
                  </c15:fullRef>
                </c:ext>
              </c:extLst>
              <c:f>Pivot!$O$14</c:f>
              <c:strCache>
                <c:ptCount val="1"/>
                <c:pt idx="0">
                  <c:v>HC%</c:v>
                </c:pt>
              </c:strCache>
            </c:strRef>
          </c:cat>
          <c:val>
            <c:numRef>
              <c:extLst>
                <c:ext xmlns:c15="http://schemas.microsoft.com/office/drawing/2012/chart" uri="{02D57815-91ED-43cb-92C2-25804820EDAC}">
                  <c15:fullRef>
                    <c15:sqref>Pivot!$N$18:$O$18</c15:sqref>
                  </c15:fullRef>
                </c:ext>
              </c:extLst>
              <c:f>Pivot!$O$18</c:f>
              <c:numCache>
                <c:formatCode>0%</c:formatCode>
                <c:ptCount val="1"/>
                <c:pt idx="0">
                  <c:v>0.17796610169491525</c:v>
                </c:pt>
              </c:numCache>
            </c:numRef>
          </c:val>
          <c:extLst>
            <c:ext xmlns:c16="http://schemas.microsoft.com/office/drawing/2014/chart" uri="{C3380CC4-5D6E-409C-BE32-E72D297353CC}">
              <c16:uniqueId val="{00000003-6AC0-41CD-9D4E-0DA6F8393ADA}"/>
            </c:ext>
          </c:extLst>
        </c:ser>
        <c:dLbls>
          <c:showLegendKey val="0"/>
          <c:showVal val="1"/>
          <c:showCatName val="0"/>
          <c:showSerName val="0"/>
          <c:showPercent val="0"/>
          <c:showBubbleSize val="0"/>
        </c:dLbls>
        <c:gapWidth val="98"/>
        <c:gapDepth val="114"/>
        <c:shape val="pyramid"/>
        <c:axId val="1466620400"/>
        <c:axId val="1466619440"/>
        <c:axId val="0"/>
      </c:bar3DChart>
      <c:catAx>
        <c:axId val="1466620400"/>
        <c:scaling>
          <c:orientation val="minMax"/>
        </c:scaling>
        <c:delete val="1"/>
        <c:axPos val="b"/>
        <c:numFmt formatCode="General" sourceLinked="1"/>
        <c:majorTickMark val="none"/>
        <c:minorTickMark val="none"/>
        <c:tickLblPos val="nextTo"/>
        <c:crossAx val="1466619440"/>
        <c:crosses val="autoZero"/>
        <c:auto val="1"/>
        <c:lblAlgn val="ctr"/>
        <c:lblOffset val="100"/>
        <c:noMultiLvlLbl val="0"/>
      </c:catAx>
      <c:valAx>
        <c:axId val="1466619440"/>
        <c:scaling>
          <c:orientation val="minMax"/>
        </c:scaling>
        <c:delete val="1"/>
        <c:axPos val="l"/>
        <c:numFmt formatCode="General" sourceLinked="1"/>
        <c:majorTickMark val="none"/>
        <c:minorTickMark val="none"/>
        <c:tickLblPos val="nextTo"/>
        <c:crossAx val="1466620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latin typeface="Times New Roman" panose="02020603050405020304" pitchFamily="18" charset="0"/>
                <a:cs typeface="Times New Roman" panose="02020603050405020304" pitchFamily="18" charset="0"/>
              </a:rPr>
              <a:t>DEPT BY HC%</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685101487700999E-2"/>
          <c:y val="0.22816634656953849"/>
          <c:w val="0.58703185023250015"/>
          <c:h val="0.6699429393228683"/>
        </c:manualLayout>
      </c:layout>
      <c:doughnutChart>
        <c:varyColors val="1"/>
        <c:ser>
          <c:idx val="1"/>
          <c:order val="1"/>
          <c:tx>
            <c:strRef>
              <c:f>Pivot!$S$14</c:f>
              <c:strCache>
                <c:ptCount val="1"/>
                <c:pt idx="0">
                  <c:v>HC%</c:v>
                </c:pt>
              </c:strCache>
            </c:strRef>
          </c:tx>
          <c:spPr>
            <a:ln>
              <a:noFill/>
            </a:ln>
            <a:effectLst>
              <a:outerShdw blurRad="50800" dist="38100" dir="5400000" algn="t" rotWithShape="0">
                <a:prstClr val="black">
                  <a:alpha val="40000"/>
                </a:prstClr>
              </a:outerShdw>
            </a:effectLst>
          </c:spPr>
          <c:dPt>
            <c:idx val="0"/>
            <c:bubble3D val="0"/>
            <c:spPr>
              <a:solidFill>
                <a:schemeClr val="accent3">
                  <a:lumMod val="20000"/>
                  <a:lumOff val="80000"/>
                </a:schemeClr>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1-E7EC-41FD-ACCB-7D31A32E8D13}"/>
              </c:ext>
            </c:extLst>
          </c:dPt>
          <c:dPt>
            <c:idx val="1"/>
            <c:bubble3D val="0"/>
            <c:spPr>
              <a:solidFill>
                <a:schemeClr val="accent2"/>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3-E7EC-41FD-ACCB-7D31A32E8D13}"/>
              </c:ext>
            </c:extLst>
          </c:dPt>
          <c:dPt>
            <c:idx val="2"/>
            <c:bubble3D val="0"/>
            <c:spPr>
              <a:solidFill>
                <a:schemeClr val="accent2">
                  <a:lumMod val="60000"/>
                  <a:lumOff val="40000"/>
                </a:schemeClr>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5-E7EC-41FD-ACCB-7D31A32E8D13}"/>
              </c:ext>
            </c:extLst>
          </c:dPt>
          <c:dPt>
            <c:idx val="3"/>
            <c:bubble3D val="0"/>
            <c:spPr>
              <a:solidFill>
                <a:schemeClr val="accent4"/>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7-E7EC-41FD-ACCB-7D31A32E8D13}"/>
              </c:ext>
            </c:extLst>
          </c:dPt>
          <c:dPt>
            <c:idx val="4"/>
            <c:bubble3D val="0"/>
            <c:spPr>
              <a:solidFill>
                <a:schemeClr val="accent5">
                  <a:lumMod val="40000"/>
                  <a:lumOff val="60000"/>
                </a:schemeClr>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9-E7EC-41FD-ACCB-7D31A32E8D13}"/>
              </c:ext>
            </c:extLst>
          </c:dPt>
          <c:dPt>
            <c:idx val="5"/>
            <c:bubble3D val="0"/>
            <c:spPr>
              <a:solidFill>
                <a:schemeClr val="accent6"/>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B-E7EC-41FD-ACCB-7D31A32E8D13}"/>
              </c:ext>
            </c:extLst>
          </c:dPt>
          <c:dPt>
            <c:idx val="6"/>
            <c:bubble3D val="0"/>
            <c:spPr>
              <a:solidFill>
                <a:schemeClr val="tx2">
                  <a:lumMod val="25000"/>
                  <a:lumOff val="75000"/>
                </a:schemeClr>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D-E7EC-41FD-ACCB-7D31A32E8D1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Pivot!$Q$15:$Q$21</c:f>
              <c:strCache>
                <c:ptCount val="7"/>
                <c:pt idx="0">
                  <c:v>Accounting</c:v>
                </c:pt>
                <c:pt idx="1">
                  <c:v>Finance</c:v>
                </c:pt>
                <c:pt idx="2">
                  <c:v>HR</c:v>
                </c:pt>
                <c:pt idx="3">
                  <c:v>Legal</c:v>
                </c:pt>
                <c:pt idx="4">
                  <c:v>Marketing</c:v>
                </c:pt>
                <c:pt idx="5">
                  <c:v>Operations</c:v>
                </c:pt>
                <c:pt idx="6">
                  <c:v>Sales</c:v>
                </c:pt>
              </c:strCache>
            </c:strRef>
          </c:cat>
          <c:val>
            <c:numRef>
              <c:f>Pivot!$S$15:$S$21</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E7EC-41FD-ACCB-7D31A32E8D13}"/>
            </c:ext>
          </c:extLst>
        </c:ser>
        <c:dLbls>
          <c:showLegendKey val="0"/>
          <c:showVal val="0"/>
          <c:showCatName val="0"/>
          <c:showSerName val="0"/>
          <c:showPercent val="0"/>
          <c:showBubbleSize val="0"/>
          <c:showLeaderLines val="1"/>
        </c:dLbls>
        <c:firstSliceAng val="0"/>
        <c:holeSize val="45"/>
        <c:extLst>
          <c:ext xmlns:c15="http://schemas.microsoft.com/office/drawing/2012/chart" uri="{02D57815-91ED-43cb-92C2-25804820EDAC}">
            <c15:filteredPieSeries>
              <c15:ser>
                <c:idx val="0"/>
                <c:order val="0"/>
                <c:tx>
                  <c:strRef>
                    <c:extLst>
                      <c:ext uri="{02D57815-91ED-43cb-92C2-25804820EDAC}">
                        <c15:formulaRef>
                          <c15:sqref>Pivot!$R$14</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E7EC-41FD-ACCB-7D31A32E8D1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E7EC-41FD-ACCB-7D31A32E8D1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E7EC-41FD-ACCB-7D31A32E8D1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E7EC-41FD-ACCB-7D31A32E8D1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E7EC-41FD-ACCB-7D31A32E8D1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E7EC-41FD-ACCB-7D31A32E8D1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E7EC-41FD-ACCB-7D31A32E8D13}"/>
                    </c:ext>
                  </c:extLst>
                </c:dPt>
                <c:cat>
                  <c:strRef>
                    <c:extLst>
                      <c:ext uri="{02D57815-91ED-43cb-92C2-25804820EDAC}">
                        <c15:formulaRef>
                          <c15:sqref>Pivot!$Q$15:$Q$21</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Pivot!$R$15:$R$21</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E7EC-41FD-ACCB-7D31A32E8D13}"/>
                  </c:ext>
                </c:extLst>
              </c15:ser>
            </c15:filteredPieSeries>
          </c:ext>
        </c:extLst>
      </c:doughnutChart>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Entry>
      <c:legendEntry>
        <c:idx val="2"/>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Entry>
      <c:legendEntry>
        <c:idx val="3"/>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Entry>
      <c:legendEntry>
        <c:idx val="4"/>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Entry>
      <c:legendEntry>
        <c:idx val="5"/>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Entry>
      <c:legendEntry>
        <c:idx val="6"/>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Entry>
      <c:layout>
        <c:manualLayout>
          <c:xMode val="edge"/>
          <c:yMode val="edge"/>
          <c:x val="0.6666983799396472"/>
          <c:y val="0.20167153142712146"/>
          <c:w val="0.30674611015797043"/>
          <c:h val="0.702728070695263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IN" b="1"/>
              <a:t>EMP TYPE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IN"/>
        </a:p>
      </c:txPr>
    </c:title>
    <c:autoTitleDeleted val="0"/>
    <c:plotArea>
      <c:layout>
        <c:manualLayout>
          <c:layoutTarget val="inner"/>
          <c:xMode val="edge"/>
          <c:yMode val="edge"/>
          <c:x val="0.1609810664188627"/>
          <c:y val="0.14730634085057237"/>
          <c:w val="0.25663133749530215"/>
          <c:h val="0.82307200793887147"/>
        </c:manualLayout>
      </c:layout>
      <c:barChart>
        <c:barDir val="col"/>
        <c:grouping val="stacked"/>
        <c:varyColors val="0"/>
        <c:ser>
          <c:idx val="0"/>
          <c:order val="0"/>
          <c:tx>
            <c:strRef>
              <c:f>Pivot!$X$15</c:f>
              <c:strCache>
                <c:ptCount val="1"/>
                <c:pt idx="0">
                  <c:v>contract</c:v>
                </c:pt>
              </c:strCache>
            </c:strRef>
          </c:tx>
          <c:spPr>
            <a:solidFill>
              <a:schemeClr val="accent5">
                <a:lumMod val="40000"/>
                <a:lumOff val="60000"/>
              </a:schemeClr>
            </a:solidFill>
            <a:ln>
              <a:noFill/>
            </a:ln>
            <a:effectLst/>
          </c:spPr>
          <c:invertIfNegative val="0"/>
          <c:dLbls>
            <c:spPr>
              <a:solidFill>
                <a:schemeClr val="accent5">
                  <a:lumMod val="40000"/>
                  <a:lumOff val="60000"/>
                </a:schemeClr>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Pivot!$Y$14:$Z$14</c15:sqref>
                  </c15:fullRef>
                </c:ext>
              </c:extLst>
              <c:f>Pivot!$Z$14</c:f>
              <c:strCache>
                <c:ptCount val="1"/>
                <c:pt idx="0">
                  <c:v>HC %</c:v>
                </c:pt>
              </c:strCache>
            </c:strRef>
          </c:cat>
          <c:val>
            <c:numRef>
              <c:extLst>
                <c:ext xmlns:c15="http://schemas.microsoft.com/office/drawing/2012/chart" uri="{02D57815-91ED-43cb-92C2-25804820EDAC}">
                  <c15:fullRef>
                    <c15:sqref>Pivot!$Y$15:$Z$15</c15:sqref>
                  </c15:fullRef>
                </c:ext>
              </c:extLst>
              <c:f>Pivot!$Z$15</c:f>
              <c:numCache>
                <c:formatCode>0%</c:formatCode>
                <c:ptCount val="1"/>
                <c:pt idx="0">
                  <c:v>0.11016949152542373</c:v>
                </c:pt>
              </c:numCache>
            </c:numRef>
          </c:val>
          <c:extLst>
            <c:ext xmlns:c16="http://schemas.microsoft.com/office/drawing/2014/chart" uri="{C3380CC4-5D6E-409C-BE32-E72D297353CC}">
              <c16:uniqueId val="{00000000-07CE-40A6-B35A-9DC40CD3B354}"/>
            </c:ext>
          </c:extLst>
        </c:ser>
        <c:ser>
          <c:idx val="1"/>
          <c:order val="1"/>
          <c:tx>
            <c:strRef>
              <c:f>Pivot!$X$16</c:f>
              <c:strCache>
                <c:ptCount val="1"/>
                <c:pt idx="0">
                  <c:v>Permanent</c:v>
                </c:pt>
              </c:strCache>
            </c:strRef>
          </c:tx>
          <c:spPr>
            <a:solidFill>
              <a:schemeClr val="accent4">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Pivot!$Y$14:$Z$14</c15:sqref>
                  </c15:fullRef>
                </c:ext>
              </c:extLst>
              <c:f>Pivot!$Z$14</c:f>
              <c:strCache>
                <c:ptCount val="1"/>
                <c:pt idx="0">
                  <c:v>HC %</c:v>
                </c:pt>
              </c:strCache>
            </c:strRef>
          </c:cat>
          <c:val>
            <c:numRef>
              <c:extLst>
                <c:ext xmlns:c15="http://schemas.microsoft.com/office/drawing/2012/chart" uri="{02D57815-91ED-43cb-92C2-25804820EDAC}">
                  <c15:fullRef>
                    <c15:sqref>Pivot!$Y$16:$Z$16</c15:sqref>
                  </c15:fullRef>
                </c:ext>
              </c:extLst>
              <c:f>Pivot!$Z$16</c:f>
              <c:numCache>
                <c:formatCode>0%</c:formatCode>
                <c:ptCount val="1"/>
                <c:pt idx="0">
                  <c:v>0.88983050847457623</c:v>
                </c:pt>
              </c:numCache>
            </c:numRef>
          </c:val>
          <c:extLst>
            <c:ext xmlns:c16="http://schemas.microsoft.com/office/drawing/2014/chart" uri="{C3380CC4-5D6E-409C-BE32-E72D297353CC}">
              <c16:uniqueId val="{00000001-07CE-40A6-B35A-9DC40CD3B354}"/>
            </c:ext>
          </c:extLst>
        </c:ser>
        <c:dLbls>
          <c:dLblPos val="ctr"/>
          <c:showLegendKey val="0"/>
          <c:showVal val="1"/>
          <c:showCatName val="0"/>
          <c:showSerName val="0"/>
          <c:showPercent val="0"/>
          <c:showBubbleSize val="0"/>
        </c:dLbls>
        <c:gapWidth val="65"/>
        <c:overlap val="100"/>
        <c:axId val="1466608880"/>
        <c:axId val="1466623280"/>
      </c:barChart>
      <c:catAx>
        <c:axId val="1466608880"/>
        <c:scaling>
          <c:orientation val="minMax"/>
        </c:scaling>
        <c:delete val="1"/>
        <c:axPos val="b"/>
        <c:numFmt formatCode="General" sourceLinked="1"/>
        <c:majorTickMark val="out"/>
        <c:minorTickMark val="none"/>
        <c:tickLblPos val="nextTo"/>
        <c:crossAx val="1466623280"/>
        <c:crosses val="autoZero"/>
        <c:auto val="1"/>
        <c:lblAlgn val="ctr"/>
        <c:lblOffset val="100"/>
        <c:noMultiLvlLbl val="0"/>
      </c:catAx>
      <c:valAx>
        <c:axId val="1466623280"/>
        <c:scaling>
          <c:orientation val="minMax"/>
          <c:max val="1"/>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66608880"/>
        <c:crosses val="autoZero"/>
        <c:crossBetween val="between"/>
        <c:majorUnit val="0.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round/>
    </a:ln>
    <a:effectLst/>
  </c:spPr>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latin typeface="Times New Roman" panose="02020603050405020304" pitchFamily="18" charset="0"/>
                <a:cs typeface="Times New Roman" panose="02020603050405020304" pitchFamily="18" charset="0"/>
              </a:rPr>
              <a:t>STABILITY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705797632570862"/>
          <c:y val="5.7176371301799971E-2"/>
          <c:w val="0.77294202367429132"/>
          <c:h val="0.88484834346095897"/>
        </c:manualLayout>
      </c:layout>
      <c:barChart>
        <c:barDir val="bar"/>
        <c:grouping val="clustered"/>
        <c:varyColors val="0"/>
        <c:ser>
          <c:idx val="0"/>
          <c:order val="0"/>
          <c:tx>
            <c:strRef>
              <c:f>Pivot!$AB$14</c:f>
              <c:strCache>
                <c:ptCount val="1"/>
                <c:pt idx="0">
                  <c:v>Count of Name</c:v>
                </c:pt>
              </c:strCache>
            </c:strRef>
          </c:tx>
          <c:spPr>
            <a:solidFill>
              <a:schemeClr val="accent1">
                <a:lumMod val="60000"/>
                <a:lumOff val="40000"/>
              </a:schemeClr>
            </a:solidFill>
            <a:ln>
              <a:noFill/>
            </a:ln>
            <a:effectLst>
              <a:innerShdw blurRad="63500" dist="50800" dir="13500000">
                <a:prstClr val="black">
                  <a:alpha val="50000"/>
                </a:prstClr>
              </a:innerShdw>
            </a:effectLst>
            <a:scene3d>
              <a:camera prst="orthographicFront"/>
              <a:lightRig rig="threePt" dir="t"/>
            </a:scene3d>
            <a:sp3d prstMaterial="matte">
              <a:bevelT w="63500" h="63500" prst="artDeco"/>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Pivot!$AA$15:$AA$20</c:f>
              <c:strCache>
                <c:ptCount val="6"/>
                <c:pt idx="0">
                  <c:v>5+ years</c:v>
                </c:pt>
                <c:pt idx="1">
                  <c:v>4+ years</c:v>
                </c:pt>
                <c:pt idx="2">
                  <c:v>3+ years</c:v>
                </c:pt>
                <c:pt idx="3">
                  <c:v>2+ years</c:v>
                </c:pt>
                <c:pt idx="4">
                  <c:v>1+ years</c:v>
                </c:pt>
                <c:pt idx="5">
                  <c:v>&lt;1 year</c:v>
                </c:pt>
              </c:strCache>
            </c:strRef>
          </c:cat>
          <c:val>
            <c:numRef>
              <c:f>Pivot!$AB$15:$AB$20</c:f>
              <c:numCache>
                <c:formatCode>General</c:formatCode>
                <c:ptCount val="6"/>
                <c:pt idx="0">
                  <c:v>27</c:v>
                </c:pt>
                <c:pt idx="1">
                  <c:v>17</c:v>
                </c:pt>
                <c:pt idx="2">
                  <c:v>13</c:v>
                </c:pt>
                <c:pt idx="3">
                  <c:v>46</c:v>
                </c:pt>
                <c:pt idx="4">
                  <c:v>13</c:v>
                </c:pt>
                <c:pt idx="5">
                  <c:v>2</c:v>
                </c:pt>
              </c:numCache>
            </c:numRef>
          </c:val>
          <c:extLst>
            <c:ext xmlns:c16="http://schemas.microsoft.com/office/drawing/2014/chart" uri="{C3380CC4-5D6E-409C-BE32-E72D297353CC}">
              <c16:uniqueId val="{00000000-48F1-41B5-B4E1-FD7416B4DD5E}"/>
            </c:ext>
          </c:extLst>
        </c:ser>
        <c:dLbls>
          <c:dLblPos val="outEnd"/>
          <c:showLegendKey val="0"/>
          <c:showVal val="1"/>
          <c:showCatName val="0"/>
          <c:showSerName val="0"/>
          <c:showPercent val="0"/>
          <c:showBubbleSize val="0"/>
        </c:dLbls>
        <c:gapWidth val="65"/>
        <c:axId val="1785043183"/>
        <c:axId val="1785048943"/>
      </c:barChart>
      <c:catAx>
        <c:axId val="17850431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785048943"/>
        <c:crosses val="autoZero"/>
        <c:auto val="1"/>
        <c:lblAlgn val="ctr"/>
        <c:lblOffset val="100"/>
        <c:noMultiLvlLbl val="0"/>
      </c:catAx>
      <c:valAx>
        <c:axId val="1785048943"/>
        <c:scaling>
          <c:orientation val="minMax"/>
        </c:scaling>
        <c:delete val="1"/>
        <c:axPos val="b"/>
        <c:numFmt formatCode="General" sourceLinked="1"/>
        <c:majorTickMark val="none"/>
        <c:minorTickMark val="none"/>
        <c:tickLblPos val="nextTo"/>
        <c:crossAx val="17850431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HC REPORTING</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Times New Roman" panose="02020603050405020304" pitchFamily="18" charset="0"/>
              <a:cs typeface="Times New Roman" panose="02020603050405020304" pitchFamily="18" charset="0"/>
            </a:rPr>
            <a:t>HC REPORTING</a:t>
          </a:r>
        </a:p>
      </cx:txPr>
    </cx:title>
    <cx:plotArea>
      <cx:plotAreaRegion>
        <cx:series layoutId="funnel" uniqueId="{5AF4F6F5-5DD7-4136-82F3-BA940C9A21DA}">
          <cx:tx>
            <cx:txData>
              <cx:f>_xlchart.v2.1</cx:f>
              <cx:v>HC</cx:v>
            </cx:txData>
          </cx:tx>
          <cx:spPr>
            <a:solidFill>
              <a:schemeClr val="accent5">
                <a:lumMod val="40000"/>
                <a:lumOff val="60000"/>
              </a:schemeClr>
            </a:solidFill>
            <a:ln>
              <a:noFill/>
            </a:ln>
            <a:effectLst>
              <a:outerShdw blurRad="50800" dist="38100" dir="2700000" algn="tl" rotWithShape="0">
                <a:prstClr val="black">
                  <a:alpha val="40000"/>
                </a:prstClr>
              </a:outerShdw>
            </a:effectLst>
          </cx:spPr>
          <cx:dataLabels>
            <cx:visibility seriesName="0" categoryName="0" value="1"/>
          </cx:dataLabels>
          <cx:dataId val="0"/>
        </cx:series>
      </cx:plotAreaRegion>
      <cx:axis id="0">
        <cx:catScaling gapWidth="0.0599999987"/>
        <cx:tickLabels/>
        <cx:spPr>
          <a:ln>
            <a:noFill/>
          </a:ln>
        </cx:spPr>
        <cx:txPr>
          <a:bodyPr spcFirstLastPara="1" vertOverflow="ellipsis" horzOverflow="overflow" wrap="square" lIns="0" tIns="0" rIns="0" bIns="0" anchor="ctr" anchorCtr="1"/>
          <a:lstStyle/>
          <a:p>
            <a:pPr algn="ctr" rtl="0">
              <a:defRPr sz="1050" b="0" i="0" u="none">
                <a:latin typeface="Times New Roman" panose="02020603050405020304" pitchFamily="18" charset="0"/>
                <a:ea typeface="Times New Roman" panose="02020603050405020304" pitchFamily="18" charset="0"/>
                <a:cs typeface="Times New Roman" panose="02020603050405020304" pitchFamily="18" charset="0"/>
              </a:defRPr>
            </a:pPr>
            <a:endParaRPr lang="en-US" sz="1050" b="0" i="0" u="none" strike="noStrike" baseline="0">
              <a:solidFill>
                <a:sysClr val="windowText" lastClr="000000">
                  <a:lumMod val="65000"/>
                  <a:lumOff val="35000"/>
                </a:sysClr>
              </a:solidFill>
              <a:latin typeface="Times New Roman" panose="02020603050405020304" pitchFamily="18" charset="0"/>
              <a:cs typeface="Times New Roman" panose="02020603050405020304" pitchFamily="18" charset="0"/>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chart" Target="../charts/chart5.xml"/><Relationship Id="rId3" Type="http://schemas.openxmlformats.org/officeDocument/2006/relationships/image" Target="../media/image3.png"/><Relationship Id="rId21" Type="http://schemas.openxmlformats.org/officeDocument/2006/relationships/chart" Target="../charts/chart1.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microsoft.com/office/2014/relationships/chartEx" Target="../charts/chartEx1.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png"/><Relationship Id="rId29" Type="http://schemas.openxmlformats.org/officeDocument/2006/relationships/image" Target="../media/image3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image" Target="../media/image29.pn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2.xml"/><Relationship Id="rId27"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svg"/><Relationship Id="rId1" Type="http://schemas.openxmlformats.org/officeDocument/2006/relationships/image" Target="../media/image21.png"/><Relationship Id="rId4" Type="http://schemas.openxmlformats.org/officeDocument/2006/relationships/image" Target="../media/image24.svg"/></Relationships>
</file>

<file path=xl/drawings/_rels/drawing5.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svg"/><Relationship Id="rId1" Type="http://schemas.openxmlformats.org/officeDocument/2006/relationships/image" Target="../media/image25.png"/><Relationship Id="rId4" Type="http://schemas.openxmlformats.org/officeDocument/2006/relationships/image" Target="../media/image28.sv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19050</xdr:rowOff>
    </xdr:from>
    <xdr:to>
      <xdr:col>1</xdr:col>
      <xdr:colOff>562376</xdr:colOff>
      <xdr:row>3</xdr:row>
      <xdr:rowOff>160350</xdr:rowOff>
    </xdr:to>
    <xdr:sp macro="" textlink="">
      <xdr:nvSpPr>
        <xdr:cNvPr id="2" name="Rectangle 1">
          <a:extLst>
            <a:ext uri="{FF2B5EF4-FFF2-40B4-BE49-F238E27FC236}">
              <a16:creationId xmlns:a16="http://schemas.microsoft.com/office/drawing/2014/main" id="{B2B13DC8-A314-55F1-2A7D-24985FBF124D}"/>
            </a:ext>
          </a:extLst>
        </xdr:cNvPr>
        <xdr:cNvSpPr/>
      </xdr:nvSpPr>
      <xdr:spPr>
        <a:xfrm>
          <a:off x="0" y="19050"/>
          <a:ext cx="1171976" cy="703275"/>
        </a:xfrm>
        <a:prstGeom prst="rect">
          <a:avLst/>
        </a:prstGeom>
        <a:solidFill>
          <a:schemeClr val="accent1">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chemeClr val="tx1"/>
              </a:solidFill>
              <a:latin typeface="Agency FB" panose="020B0503020202020204" pitchFamily="34" charset="0"/>
            </a:rPr>
            <a:t>SM HR</a:t>
          </a:r>
        </a:p>
      </xdr:txBody>
    </xdr:sp>
    <xdr:clientData/>
  </xdr:twoCellAnchor>
  <xdr:twoCellAnchor>
    <xdr:from>
      <xdr:col>1</xdr:col>
      <xdr:colOff>583114</xdr:colOff>
      <xdr:row>0</xdr:row>
      <xdr:rowOff>23231</xdr:rowOff>
    </xdr:from>
    <xdr:to>
      <xdr:col>19</xdr:col>
      <xdr:colOff>418169</xdr:colOff>
      <xdr:row>3</xdr:row>
      <xdr:rowOff>164531</xdr:rowOff>
    </xdr:to>
    <xdr:sp macro="" textlink="">
      <xdr:nvSpPr>
        <xdr:cNvPr id="3" name="Rectangle 2">
          <a:extLst>
            <a:ext uri="{FF2B5EF4-FFF2-40B4-BE49-F238E27FC236}">
              <a16:creationId xmlns:a16="http://schemas.microsoft.com/office/drawing/2014/main" id="{F0F123E3-980E-4738-B3B3-9792461D3967}"/>
            </a:ext>
          </a:extLst>
        </xdr:cNvPr>
        <xdr:cNvSpPr/>
      </xdr:nvSpPr>
      <xdr:spPr>
        <a:xfrm>
          <a:off x="1192714" y="23231"/>
          <a:ext cx="10807855" cy="703275"/>
        </a:xfrm>
        <a:prstGeom prst="rect">
          <a:avLst/>
        </a:prstGeom>
        <a:solidFill>
          <a:schemeClr val="accent1">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247649</xdr:colOff>
      <xdr:row>0</xdr:row>
      <xdr:rowOff>123825</xdr:rowOff>
    </xdr:from>
    <xdr:to>
      <xdr:col>17</xdr:col>
      <xdr:colOff>47624</xdr:colOff>
      <xdr:row>3</xdr:row>
      <xdr:rowOff>19050</xdr:rowOff>
    </xdr:to>
    <xdr:sp macro="" textlink="">
      <xdr:nvSpPr>
        <xdr:cNvPr id="4" name="TextBox 3">
          <a:extLst>
            <a:ext uri="{FF2B5EF4-FFF2-40B4-BE49-F238E27FC236}">
              <a16:creationId xmlns:a16="http://schemas.microsoft.com/office/drawing/2014/main" id="{AE834B44-1CF8-8ECC-F754-95C5C6D202A9}"/>
            </a:ext>
          </a:extLst>
        </xdr:cNvPr>
        <xdr:cNvSpPr txBox="1"/>
      </xdr:nvSpPr>
      <xdr:spPr>
        <a:xfrm>
          <a:off x="2076449" y="123825"/>
          <a:ext cx="8334375" cy="4572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a:solidFill>
                <a:schemeClr val="bg1"/>
              </a:solidFill>
            </a:rPr>
            <a:t>HR ANALATICS  DASHBOARD</a:t>
          </a:r>
        </a:p>
      </xdr:txBody>
    </xdr:sp>
    <xdr:clientData/>
  </xdr:twoCellAnchor>
  <xdr:twoCellAnchor>
    <xdr:from>
      <xdr:col>1</xdr:col>
      <xdr:colOff>600075</xdr:colOff>
      <xdr:row>4</xdr:row>
      <xdr:rowOff>46463</xdr:rowOff>
    </xdr:from>
    <xdr:to>
      <xdr:col>5</xdr:col>
      <xdr:colOff>371706</xdr:colOff>
      <xdr:row>9</xdr:row>
      <xdr:rowOff>76200</xdr:rowOff>
    </xdr:to>
    <xdr:sp macro="" textlink="">
      <xdr:nvSpPr>
        <xdr:cNvPr id="6" name="Rectangle 5">
          <a:extLst>
            <a:ext uri="{FF2B5EF4-FFF2-40B4-BE49-F238E27FC236}">
              <a16:creationId xmlns:a16="http://schemas.microsoft.com/office/drawing/2014/main" id="{51F13B92-1E6B-48A3-981F-70802E975D9F}"/>
            </a:ext>
          </a:extLst>
        </xdr:cNvPr>
        <xdr:cNvSpPr/>
      </xdr:nvSpPr>
      <xdr:spPr>
        <a:xfrm>
          <a:off x="1209675" y="798938"/>
          <a:ext cx="2210031" cy="982237"/>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a:t>
          </a:r>
        </a:p>
      </xdr:txBody>
    </xdr:sp>
    <xdr:clientData/>
  </xdr:twoCellAnchor>
  <xdr:twoCellAnchor>
    <xdr:from>
      <xdr:col>5</xdr:col>
      <xdr:colOff>367597</xdr:colOff>
      <xdr:row>4</xdr:row>
      <xdr:rowOff>46463</xdr:rowOff>
    </xdr:from>
    <xdr:to>
      <xdr:col>9</xdr:col>
      <xdr:colOff>77200</xdr:colOff>
      <xdr:row>9</xdr:row>
      <xdr:rowOff>69695</xdr:rowOff>
    </xdr:to>
    <xdr:sp macro="" textlink="">
      <xdr:nvSpPr>
        <xdr:cNvPr id="11" name="Rectangle 10">
          <a:extLst>
            <a:ext uri="{FF2B5EF4-FFF2-40B4-BE49-F238E27FC236}">
              <a16:creationId xmlns:a16="http://schemas.microsoft.com/office/drawing/2014/main" id="{67962120-897A-4A20-999A-79283776F164}"/>
            </a:ext>
          </a:extLst>
        </xdr:cNvPr>
        <xdr:cNvSpPr/>
      </xdr:nvSpPr>
      <xdr:spPr>
        <a:xfrm>
          <a:off x="3415597" y="798938"/>
          <a:ext cx="2148003" cy="975732"/>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98239</xdr:colOff>
      <xdr:row>4</xdr:row>
      <xdr:rowOff>34847</xdr:rowOff>
    </xdr:from>
    <xdr:to>
      <xdr:col>12</xdr:col>
      <xdr:colOff>411867</xdr:colOff>
      <xdr:row>9</xdr:row>
      <xdr:rowOff>58079</xdr:rowOff>
    </xdr:to>
    <xdr:sp macro="" textlink="">
      <xdr:nvSpPr>
        <xdr:cNvPr id="12" name="Rectangle 11">
          <a:extLst>
            <a:ext uri="{FF2B5EF4-FFF2-40B4-BE49-F238E27FC236}">
              <a16:creationId xmlns:a16="http://schemas.microsoft.com/office/drawing/2014/main" id="{549D9B0D-3C98-4A4A-A1E4-FE73AEF26644}"/>
            </a:ext>
          </a:extLst>
        </xdr:cNvPr>
        <xdr:cNvSpPr/>
      </xdr:nvSpPr>
      <xdr:spPr>
        <a:xfrm>
          <a:off x="5534459" y="778262"/>
          <a:ext cx="2125701" cy="952500"/>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368555</xdr:colOff>
      <xdr:row>4</xdr:row>
      <xdr:rowOff>46463</xdr:rowOff>
    </xdr:from>
    <xdr:to>
      <xdr:col>16</xdr:col>
      <xdr:colOff>78159</xdr:colOff>
      <xdr:row>9</xdr:row>
      <xdr:rowOff>69695</xdr:rowOff>
    </xdr:to>
    <xdr:sp macro="" textlink="">
      <xdr:nvSpPr>
        <xdr:cNvPr id="13" name="Rectangle 12">
          <a:extLst>
            <a:ext uri="{FF2B5EF4-FFF2-40B4-BE49-F238E27FC236}">
              <a16:creationId xmlns:a16="http://schemas.microsoft.com/office/drawing/2014/main" id="{18A1875D-39D2-4A96-956D-0035B1747BBA}"/>
            </a:ext>
          </a:extLst>
        </xdr:cNvPr>
        <xdr:cNvSpPr/>
      </xdr:nvSpPr>
      <xdr:spPr>
        <a:xfrm>
          <a:off x="7616848" y="789878"/>
          <a:ext cx="2125701" cy="952500"/>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81310</xdr:colOff>
      <xdr:row>4</xdr:row>
      <xdr:rowOff>46463</xdr:rowOff>
    </xdr:from>
    <xdr:to>
      <xdr:col>19</xdr:col>
      <xdr:colOff>394938</xdr:colOff>
      <xdr:row>9</xdr:row>
      <xdr:rowOff>69695</xdr:rowOff>
    </xdr:to>
    <xdr:sp macro="" textlink="">
      <xdr:nvSpPr>
        <xdr:cNvPr id="14" name="Rectangle 13">
          <a:extLst>
            <a:ext uri="{FF2B5EF4-FFF2-40B4-BE49-F238E27FC236}">
              <a16:creationId xmlns:a16="http://schemas.microsoft.com/office/drawing/2014/main" id="{C0B6F840-418F-45CC-BE8B-398537DF3A2A}"/>
            </a:ext>
          </a:extLst>
        </xdr:cNvPr>
        <xdr:cNvSpPr/>
      </xdr:nvSpPr>
      <xdr:spPr>
        <a:xfrm>
          <a:off x="9834910" y="798938"/>
          <a:ext cx="2142428" cy="975732"/>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0</xdr:colOff>
      <xdr:row>9</xdr:row>
      <xdr:rowOff>81309</xdr:rowOff>
    </xdr:from>
    <xdr:to>
      <xdr:col>8</xdr:col>
      <xdr:colOff>151007</xdr:colOff>
      <xdr:row>22</xdr:row>
      <xdr:rowOff>104541</xdr:rowOff>
    </xdr:to>
    <xdr:sp macro="" textlink="">
      <xdr:nvSpPr>
        <xdr:cNvPr id="15" name="Rectangle 14">
          <a:extLst>
            <a:ext uri="{FF2B5EF4-FFF2-40B4-BE49-F238E27FC236}">
              <a16:creationId xmlns:a16="http://schemas.microsoft.com/office/drawing/2014/main" id="{F0C30A5C-BAF7-4EAB-9190-437DB1E6394D}"/>
            </a:ext>
          </a:extLst>
        </xdr:cNvPr>
        <xdr:cNvSpPr/>
      </xdr:nvSpPr>
      <xdr:spPr>
        <a:xfrm>
          <a:off x="1208049" y="1753992"/>
          <a:ext cx="3775153" cy="2439329"/>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a:t>
          </a:r>
        </a:p>
      </xdr:txBody>
    </xdr:sp>
    <xdr:clientData/>
  </xdr:twoCellAnchor>
  <xdr:twoCellAnchor>
    <xdr:from>
      <xdr:col>8</xdr:col>
      <xdr:colOff>168430</xdr:colOff>
      <xdr:row>9</xdr:row>
      <xdr:rowOff>92925</xdr:rowOff>
    </xdr:from>
    <xdr:to>
      <xdr:col>13</xdr:col>
      <xdr:colOff>272973</xdr:colOff>
      <xdr:row>22</xdr:row>
      <xdr:rowOff>139389</xdr:rowOff>
    </xdr:to>
    <xdr:sp macro="" textlink="">
      <xdr:nvSpPr>
        <xdr:cNvPr id="16" name="Rectangle 15">
          <a:extLst>
            <a:ext uri="{FF2B5EF4-FFF2-40B4-BE49-F238E27FC236}">
              <a16:creationId xmlns:a16="http://schemas.microsoft.com/office/drawing/2014/main" id="{33D7D231-7CAD-4F15-81D9-9A6FAF59A476}"/>
            </a:ext>
          </a:extLst>
        </xdr:cNvPr>
        <xdr:cNvSpPr/>
      </xdr:nvSpPr>
      <xdr:spPr>
        <a:xfrm>
          <a:off x="5000625" y="1765608"/>
          <a:ext cx="3124665" cy="2462561"/>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a:t>
          </a:r>
        </a:p>
      </xdr:txBody>
    </xdr:sp>
    <xdr:clientData/>
  </xdr:twoCellAnchor>
  <xdr:twoCellAnchor>
    <xdr:from>
      <xdr:col>13</xdr:col>
      <xdr:colOff>313628</xdr:colOff>
      <xdr:row>9</xdr:row>
      <xdr:rowOff>92925</xdr:rowOff>
    </xdr:from>
    <xdr:to>
      <xdr:col>19</xdr:col>
      <xdr:colOff>394939</xdr:colOff>
      <xdr:row>22</xdr:row>
      <xdr:rowOff>174237</xdr:rowOff>
    </xdr:to>
    <xdr:sp macro="" textlink="">
      <xdr:nvSpPr>
        <xdr:cNvPr id="17" name="Rectangle 16">
          <a:extLst>
            <a:ext uri="{FF2B5EF4-FFF2-40B4-BE49-F238E27FC236}">
              <a16:creationId xmlns:a16="http://schemas.microsoft.com/office/drawing/2014/main" id="{E210F2C2-E935-44DE-9892-B50DDBF495CB}"/>
            </a:ext>
          </a:extLst>
        </xdr:cNvPr>
        <xdr:cNvSpPr/>
      </xdr:nvSpPr>
      <xdr:spPr>
        <a:xfrm>
          <a:off x="8165945" y="1765608"/>
          <a:ext cx="3705457" cy="2497409"/>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a:t>
          </a:r>
        </a:p>
      </xdr:txBody>
    </xdr:sp>
    <xdr:clientData/>
  </xdr:twoCellAnchor>
  <xdr:twoCellAnchor>
    <xdr:from>
      <xdr:col>1</xdr:col>
      <xdr:colOff>592409</xdr:colOff>
      <xdr:row>22</xdr:row>
      <xdr:rowOff>178111</xdr:rowOff>
    </xdr:from>
    <xdr:to>
      <xdr:col>6</xdr:col>
      <xdr:colOff>360092</xdr:colOff>
      <xdr:row>36</xdr:row>
      <xdr:rowOff>38720</xdr:rowOff>
    </xdr:to>
    <xdr:sp macro="" textlink="">
      <xdr:nvSpPr>
        <xdr:cNvPr id="28" name="Rectangle 27">
          <a:extLst>
            <a:ext uri="{FF2B5EF4-FFF2-40B4-BE49-F238E27FC236}">
              <a16:creationId xmlns:a16="http://schemas.microsoft.com/office/drawing/2014/main" id="{7F92BF20-5D22-4288-90B6-44AF21438D8E}"/>
            </a:ext>
          </a:extLst>
        </xdr:cNvPr>
        <xdr:cNvSpPr/>
      </xdr:nvSpPr>
      <xdr:spPr>
        <a:xfrm>
          <a:off x="1196433" y="4266891"/>
          <a:ext cx="2787805" cy="2462561"/>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a:t>
          </a:r>
        </a:p>
      </xdr:txBody>
    </xdr:sp>
    <xdr:clientData/>
  </xdr:twoCellAnchor>
  <xdr:twoCellAnchor>
    <xdr:from>
      <xdr:col>6</xdr:col>
      <xdr:colOff>375580</xdr:colOff>
      <xdr:row>22</xdr:row>
      <xdr:rowOff>178111</xdr:rowOff>
    </xdr:from>
    <xdr:to>
      <xdr:col>11</xdr:col>
      <xdr:colOff>71082</xdr:colOff>
      <xdr:row>35</xdr:row>
      <xdr:rowOff>178111</xdr:rowOff>
    </xdr:to>
    <xdr:sp macro="" textlink="">
      <xdr:nvSpPr>
        <xdr:cNvPr id="29" name="Rectangle 28">
          <a:extLst>
            <a:ext uri="{FF2B5EF4-FFF2-40B4-BE49-F238E27FC236}">
              <a16:creationId xmlns:a16="http://schemas.microsoft.com/office/drawing/2014/main" id="{B28A5258-C6F6-44A2-87F1-BB33E63A6DF2}"/>
            </a:ext>
          </a:extLst>
        </xdr:cNvPr>
        <xdr:cNvSpPr/>
      </xdr:nvSpPr>
      <xdr:spPr>
        <a:xfrm>
          <a:off x="4043416" y="4244007"/>
          <a:ext cx="2752032" cy="2402574"/>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a:t>
          </a:r>
        </a:p>
      </xdr:txBody>
    </xdr:sp>
    <xdr:clientData/>
  </xdr:twoCellAnchor>
  <xdr:twoCellAnchor>
    <xdr:from>
      <xdr:col>11</xdr:col>
      <xdr:colOff>113732</xdr:colOff>
      <xdr:row>23</xdr:row>
      <xdr:rowOff>46465</xdr:rowOff>
    </xdr:from>
    <xdr:to>
      <xdr:col>15</xdr:col>
      <xdr:colOff>497574</xdr:colOff>
      <xdr:row>36</xdr:row>
      <xdr:rowOff>27108</xdr:rowOff>
    </xdr:to>
    <xdr:sp macro="" textlink="">
      <xdr:nvSpPr>
        <xdr:cNvPr id="30" name="Rectangle 29">
          <a:extLst>
            <a:ext uri="{FF2B5EF4-FFF2-40B4-BE49-F238E27FC236}">
              <a16:creationId xmlns:a16="http://schemas.microsoft.com/office/drawing/2014/main" id="{89CC0E50-13B8-463F-BE2D-59E561B85254}"/>
            </a:ext>
          </a:extLst>
        </xdr:cNvPr>
        <xdr:cNvSpPr/>
      </xdr:nvSpPr>
      <xdr:spPr>
        <a:xfrm>
          <a:off x="6838098" y="4297174"/>
          <a:ext cx="2829066" cy="2383218"/>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a:t>
          </a:r>
        </a:p>
      </xdr:txBody>
    </xdr:sp>
    <xdr:clientData/>
  </xdr:twoCellAnchor>
  <xdr:twoCellAnchor>
    <xdr:from>
      <xdr:col>15</xdr:col>
      <xdr:colOff>326979</xdr:colOff>
      <xdr:row>23</xdr:row>
      <xdr:rowOff>28432</xdr:rowOff>
    </xdr:from>
    <xdr:to>
      <xdr:col>19</xdr:col>
      <xdr:colOff>369628</xdr:colOff>
      <xdr:row>35</xdr:row>
      <xdr:rowOff>170598</xdr:rowOff>
    </xdr:to>
    <xdr:sp macro="" textlink="">
      <xdr:nvSpPr>
        <xdr:cNvPr id="31" name="Rectangle 30">
          <a:extLst>
            <a:ext uri="{FF2B5EF4-FFF2-40B4-BE49-F238E27FC236}">
              <a16:creationId xmlns:a16="http://schemas.microsoft.com/office/drawing/2014/main" id="{2317A85E-3C29-47F1-8F7F-165881D73E03}"/>
            </a:ext>
          </a:extLst>
        </xdr:cNvPr>
        <xdr:cNvSpPr/>
      </xdr:nvSpPr>
      <xdr:spPr>
        <a:xfrm>
          <a:off x="9496569" y="4279141"/>
          <a:ext cx="2487872" cy="2359927"/>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a:t>
          </a:r>
        </a:p>
      </xdr:txBody>
    </xdr:sp>
    <xdr:clientData/>
  </xdr:twoCellAnchor>
  <xdr:twoCellAnchor editAs="oneCell">
    <xdr:from>
      <xdr:col>0</xdr:col>
      <xdr:colOff>394938</xdr:colOff>
      <xdr:row>1</xdr:row>
      <xdr:rowOff>23232</xdr:rowOff>
    </xdr:from>
    <xdr:to>
      <xdr:col>1</xdr:col>
      <xdr:colOff>232317</xdr:colOff>
      <xdr:row>3</xdr:row>
      <xdr:rowOff>92928</xdr:rowOff>
    </xdr:to>
    <xdr:pic>
      <xdr:nvPicPr>
        <xdr:cNvPr id="40" name="Graphic 39" descr="SM &#10;">
          <a:extLst>
            <a:ext uri="{FF2B5EF4-FFF2-40B4-BE49-F238E27FC236}">
              <a16:creationId xmlns:a16="http://schemas.microsoft.com/office/drawing/2014/main" id="{888154F4-CF76-9EBA-7720-608F9C65A397}"/>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94938" y="209086"/>
          <a:ext cx="441403" cy="441403"/>
        </a:xfrm>
        <a:prstGeom prst="rect">
          <a:avLst/>
        </a:prstGeom>
      </xdr:spPr>
    </xdr:pic>
    <xdr:clientData/>
  </xdr:twoCellAnchor>
  <xdr:twoCellAnchor editAs="oneCell">
    <xdr:from>
      <xdr:col>18</xdr:col>
      <xdr:colOff>336860</xdr:colOff>
      <xdr:row>0</xdr:row>
      <xdr:rowOff>58079</xdr:rowOff>
    </xdr:from>
    <xdr:to>
      <xdr:col>19</xdr:col>
      <xdr:colOff>272836</xdr:colOff>
      <xdr:row>3</xdr:row>
      <xdr:rowOff>40518</xdr:rowOff>
    </xdr:to>
    <xdr:pic>
      <xdr:nvPicPr>
        <xdr:cNvPr id="44" name="Graphic 43" descr="Laptop with solid fill">
          <a:extLst>
            <a:ext uri="{FF2B5EF4-FFF2-40B4-BE49-F238E27FC236}">
              <a16:creationId xmlns:a16="http://schemas.microsoft.com/office/drawing/2014/main" id="{E5BC99CE-ED24-8023-E633-A57548D1024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209299" y="58079"/>
          <a:ext cx="540000" cy="540000"/>
        </a:xfrm>
        <a:prstGeom prst="rect">
          <a:avLst/>
        </a:prstGeom>
      </xdr:spPr>
    </xdr:pic>
    <xdr:clientData/>
  </xdr:twoCellAnchor>
  <xdr:twoCellAnchor editAs="oneCell">
    <xdr:from>
      <xdr:col>2</xdr:col>
      <xdr:colOff>231310</xdr:colOff>
      <xdr:row>0</xdr:row>
      <xdr:rowOff>0</xdr:rowOff>
    </xdr:from>
    <xdr:to>
      <xdr:col>3</xdr:col>
      <xdr:colOff>232317</xdr:colOff>
      <xdr:row>3</xdr:row>
      <xdr:rowOff>122997</xdr:rowOff>
    </xdr:to>
    <xdr:pic>
      <xdr:nvPicPr>
        <xdr:cNvPr id="48" name="Graphic 47" descr="Users with solid fill">
          <a:extLst>
            <a:ext uri="{FF2B5EF4-FFF2-40B4-BE49-F238E27FC236}">
              <a16:creationId xmlns:a16="http://schemas.microsoft.com/office/drawing/2014/main" id="{45EE87C4-9241-7588-7075-F738515767F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39359" y="0"/>
          <a:ext cx="605031" cy="680558"/>
        </a:xfrm>
        <a:prstGeom prst="rect">
          <a:avLst/>
        </a:prstGeom>
      </xdr:spPr>
    </xdr:pic>
    <xdr:clientData/>
  </xdr:twoCellAnchor>
  <xdr:twoCellAnchor editAs="oneCell">
    <xdr:from>
      <xdr:col>9</xdr:col>
      <xdr:colOff>219696</xdr:colOff>
      <xdr:row>4</xdr:row>
      <xdr:rowOff>57073</xdr:rowOff>
    </xdr:from>
    <xdr:to>
      <xdr:col>10</xdr:col>
      <xdr:colOff>232318</xdr:colOff>
      <xdr:row>7</xdr:row>
      <xdr:rowOff>116158</xdr:rowOff>
    </xdr:to>
    <xdr:pic>
      <xdr:nvPicPr>
        <xdr:cNvPr id="54" name="Graphic 53" descr="Users with solid fill">
          <a:extLst>
            <a:ext uri="{FF2B5EF4-FFF2-40B4-BE49-F238E27FC236}">
              <a16:creationId xmlns:a16="http://schemas.microsoft.com/office/drawing/2014/main" id="{7A0F3C0A-6771-6E80-65D8-4C78901563B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55916" y="800488"/>
          <a:ext cx="616646" cy="616646"/>
        </a:xfrm>
        <a:prstGeom prst="rect">
          <a:avLst/>
        </a:prstGeom>
      </xdr:spPr>
    </xdr:pic>
    <xdr:clientData/>
  </xdr:twoCellAnchor>
  <xdr:twoCellAnchor editAs="oneCell">
    <xdr:from>
      <xdr:col>2</xdr:col>
      <xdr:colOff>163608</xdr:colOff>
      <xdr:row>4</xdr:row>
      <xdr:rowOff>69695</xdr:rowOff>
    </xdr:from>
    <xdr:to>
      <xdr:col>3</xdr:col>
      <xdr:colOff>210905</xdr:colOff>
      <xdr:row>7</xdr:row>
      <xdr:rowOff>123836</xdr:rowOff>
    </xdr:to>
    <xdr:pic>
      <xdr:nvPicPr>
        <xdr:cNvPr id="56" name="Graphic 55" descr="Group of people with solid fill">
          <a:extLst>
            <a:ext uri="{FF2B5EF4-FFF2-40B4-BE49-F238E27FC236}">
              <a16:creationId xmlns:a16="http://schemas.microsoft.com/office/drawing/2014/main" id="{00AD3F35-966A-43CF-8605-E27D781AD19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1371657" y="813110"/>
          <a:ext cx="651321" cy="611702"/>
        </a:xfrm>
        <a:prstGeom prst="rect">
          <a:avLst/>
        </a:prstGeom>
      </xdr:spPr>
    </xdr:pic>
    <xdr:clientData/>
  </xdr:twoCellAnchor>
  <xdr:twoCellAnchor editAs="oneCell">
    <xdr:from>
      <xdr:col>5</xdr:col>
      <xdr:colOff>501644</xdr:colOff>
      <xdr:row>4</xdr:row>
      <xdr:rowOff>46463</xdr:rowOff>
    </xdr:from>
    <xdr:to>
      <xdr:col>6</xdr:col>
      <xdr:colOff>557561</xdr:colOff>
      <xdr:row>7</xdr:row>
      <xdr:rowOff>109273</xdr:rowOff>
    </xdr:to>
    <xdr:pic>
      <xdr:nvPicPr>
        <xdr:cNvPr id="57" name="Graphic 56" descr="Group with solid fill">
          <a:extLst>
            <a:ext uri="{FF2B5EF4-FFF2-40B4-BE49-F238E27FC236}">
              <a16:creationId xmlns:a16="http://schemas.microsoft.com/office/drawing/2014/main" id="{1EFAEC2A-C385-45A6-88FC-7BA9C615B7B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521766" y="789878"/>
          <a:ext cx="659941" cy="620371"/>
        </a:xfrm>
        <a:prstGeom prst="rect">
          <a:avLst/>
        </a:prstGeom>
      </xdr:spPr>
    </xdr:pic>
    <xdr:clientData/>
  </xdr:twoCellAnchor>
  <xdr:twoCellAnchor editAs="oneCell">
    <xdr:from>
      <xdr:col>12</xdr:col>
      <xdr:colOff>406555</xdr:colOff>
      <xdr:row>4</xdr:row>
      <xdr:rowOff>23231</xdr:rowOff>
    </xdr:from>
    <xdr:to>
      <xdr:col>13</xdr:col>
      <xdr:colOff>557561</xdr:colOff>
      <xdr:row>8</xdr:row>
      <xdr:rowOff>34847</xdr:rowOff>
    </xdr:to>
    <xdr:pic>
      <xdr:nvPicPr>
        <xdr:cNvPr id="59" name="Graphic 58" descr="Call center with solid fill">
          <a:extLst>
            <a:ext uri="{FF2B5EF4-FFF2-40B4-BE49-F238E27FC236}">
              <a16:creationId xmlns:a16="http://schemas.microsoft.com/office/drawing/2014/main" id="{5570E57E-3C7C-BCEC-D698-03B8EBE8D30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654848" y="766646"/>
          <a:ext cx="755030" cy="755030"/>
        </a:xfrm>
        <a:prstGeom prst="rect">
          <a:avLst/>
        </a:prstGeom>
      </xdr:spPr>
    </xdr:pic>
    <xdr:clientData/>
  </xdr:twoCellAnchor>
  <xdr:twoCellAnchor editAs="oneCell">
    <xdr:from>
      <xdr:col>16</xdr:col>
      <xdr:colOff>302012</xdr:colOff>
      <xdr:row>5</xdr:row>
      <xdr:rowOff>1</xdr:rowOff>
    </xdr:from>
    <xdr:to>
      <xdr:col>17</xdr:col>
      <xdr:colOff>209084</xdr:colOff>
      <xdr:row>7</xdr:row>
      <xdr:rowOff>139390</xdr:rowOff>
    </xdr:to>
    <xdr:pic>
      <xdr:nvPicPr>
        <xdr:cNvPr id="65" name="Graphic 64" descr="Transfer with solid fill">
          <a:extLst>
            <a:ext uri="{FF2B5EF4-FFF2-40B4-BE49-F238E27FC236}">
              <a16:creationId xmlns:a16="http://schemas.microsoft.com/office/drawing/2014/main" id="{8C201FA8-E1FE-A36D-8B2D-D4CE6C49A5E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V="1">
          <a:off x="9966402" y="929269"/>
          <a:ext cx="511097" cy="511097"/>
        </a:xfrm>
        <a:prstGeom prst="rect">
          <a:avLst/>
        </a:prstGeom>
      </xdr:spPr>
    </xdr:pic>
    <xdr:clientData/>
  </xdr:twoCellAnchor>
  <xdr:twoCellAnchor editAs="oneCell">
    <xdr:from>
      <xdr:col>6</xdr:col>
      <xdr:colOff>582954</xdr:colOff>
      <xdr:row>4</xdr:row>
      <xdr:rowOff>34848</xdr:rowOff>
    </xdr:from>
    <xdr:to>
      <xdr:col>8</xdr:col>
      <xdr:colOff>499480</xdr:colOff>
      <xdr:row>5</xdr:row>
      <xdr:rowOff>147725</xdr:rowOff>
    </xdr:to>
    <xdr:pic>
      <xdr:nvPicPr>
        <xdr:cNvPr id="83" name="Picture 82">
          <a:extLst>
            <a:ext uri="{FF2B5EF4-FFF2-40B4-BE49-F238E27FC236}">
              <a16:creationId xmlns:a16="http://schemas.microsoft.com/office/drawing/2014/main" id="{301EBF61-8C30-118D-3F65-143CB44C8BB8}"/>
            </a:ext>
          </a:extLst>
        </xdr:cNvPr>
        <xdr:cNvPicPr>
          <a:picLocks noChangeAspect="1"/>
        </xdr:cNvPicPr>
      </xdr:nvPicPr>
      <xdr:blipFill>
        <a:blip xmlns:r="http://schemas.openxmlformats.org/officeDocument/2006/relationships" r:embed="rId17"/>
        <a:stretch>
          <a:fillRect/>
        </a:stretch>
      </xdr:blipFill>
      <xdr:spPr>
        <a:xfrm>
          <a:off x="4207100" y="778263"/>
          <a:ext cx="1124575" cy="298730"/>
        </a:xfrm>
        <a:prstGeom prst="rect">
          <a:avLst/>
        </a:prstGeom>
      </xdr:spPr>
    </xdr:pic>
    <xdr:clientData/>
  </xdr:twoCellAnchor>
  <xdr:twoCellAnchor editAs="oneCell">
    <xdr:from>
      <xdr:col>10</xdr:col>
      <xdr:colOff>275628</xdr:colOff>
      <xdr:row>4</xdr:row>
      <xdr:rowOff>46463</xdr:rowOff>
    </xdr:from>
    <xdr:to>
      <xdr:col>12</xdr:col>
      <xdr:colOff>97892</xdr:colOff>
      <xdr:row>5</xdr:row>
      <xdr:rowOff>159340</xdr:rowOff>
    </xdr:to>
    <xdr:pic>
      <xdr:nvPicPr>
        <xdr:cNvPr id="84" name="Picture 83">
          <a:extLst>
            <a:ext uri="{FF2B5EF4-FFF2-40B4-BE49-F238E27FC236}">
              <a16:creationId xmlns:a16="http://schemas.microsoft.com/office/drawing/2014/main" id="{E31A1344-1AE3-7388-874A-D2291C17487D}"/>
            </a:ext>
          </a:extLst>
        </xdr:cNvPr>
        <xdr:cNvPicPr>
          <a:picLocks noChangeAspect="1"/>
        </xdr:cNvPicPr>
      </xdr:nvPicPr>
      <xdr:blipFill>
        <a:blip xmlns:r="http://schemas.openxmlformats.org/officeDocument/2006/relationships" r:embed="rId18"/>
        <a:stretch>
          <a:fillRect/>
        </a:stretch>
      </xdr:blipFill>
      <xdr:spPr>
        <a:xfrm>
          <a:off x="6315872" y="789878"/>
          <a:ext cx="1030313" cy="298730"/>
        </a:xfrm>
        <a:prstGeom prst="rect">
          <a:avLst/>
        </a:prstGeom>
      </xdr:spPr>
    </xdr:pic>
    <xdr:clientData/>
  </xdr:twoCellAnchor>
  <xdr:twoCellAnchor editAs="oneCell">
    <xdr:from>
      <xdr:col>13</xdr:col>
      <xdr:colOff>473098</xdr:colOff>
      <xdr:row>4</xdr:row>
      <xdr:rowOff>34846</xdr:rowOff>
    </xdr:from>
    <xdr:to>
      <xdr:col>15</xdr:col>
      <xdr:colOff>441679</xdr:colOff>
      <xdr:row>5</xdr:row>
      <xdr:rowOff>147723</xdr:rowOff>
    </xdr:to>
    <xdr:pic>
      <xdr:nvPicPr>
        <xdr:cNvPr id="86" name="Picture 85">
          <a:extLst>
            <a:ext uri="{FF2B5EF4-FFF2-40B4-BE49-F238E27FC236}">
              <a16:creationId xmlns:a16="http://schemas.microsoft.com/office/drawing/2014/main" id="{E1CA4DD4-5B76-9D7F-16BA-83F8B04CBBCF}"/>
            </a:ext>
          </a:extLst>
        </xdr:cNvPr>
        <xdr:cNvPicPr>
          <a:picLocks noChangeAspect="1"/>
        </xdr:cNvPicPr>
      </xdr:nvPicPr>
      <xdr:blipFill>
        <a:blip xmlns:r="http://schemas.openxmlformats.org/officeDocument/2006/relationships" r:embed="rId19"/>
        <a:stretch>
          <a:fillRect/>
        </a:stretch>
      </xdr:blipFill>
      <xdr:spPr>
        <a:xfrm>
          <a:off x="8325415" y="778261"/>
          <a:ext cx="1176630" cy="298730"/>
        </a:xfrm>
        <a:prstGeom prst="rect">
          <a:avLst/>
        </a:prstGeom>
      </xdr:spPr>
    </xdr:pic>
    <xdr:clientData/>
  </xdr:twoCellAnchor>
  <xdr:twoCellAnchor editAs="oneCell">
    <xdr:from>
      <xdr:col>17</xdr:col>
      <xdr:colOff>232315</xdr:colOff>
      <xdr:row>4</xdr:row>
      <xdr:rowOff>34847</xdr:rowOff>
    </xdr:from>
    <xdr:to>
      <xdr:col>19</xdr:col>
      <xdr:colOff>46464</xdr:colOff>
      <xdr:row>5</xdr:row>
      <xdr:rowOff>147724</xdr:rowOff>
    </xdr:to>
    <xdr:pic>
      <xdr:nvPicPr>
        <xdr:cNvPr id="88" name="Picture 87">
          <a:extLst>
            <a:ext uri="{FF2B5EF4-FFF2-40B4-BE49-F238E27FC236}">
              <a16:creationId xmlns:a16="http://schemas.microsoft.com/office/drawing/2014/main" id="{2974B6D6-C18E-C2C7-A94B-C2AB4831B6B5}"/>
            </a:ext>
          </a:extLst>
        </xdr:cNvPr>
        <xdr:cNvPicPr>
          <a:picLocks noChangeAspect="1"/>
        </xdr:cNvPicPr>
      </xdr:nvPicPr>
      <xdr:blipFill>
        <a:blip xmlns:r="http://schemas.openxmlformats.org/officeDocument/2006/relationships" r:embed="rId20"/>
        <a:stretch>
          <a:fillRect/>
        </a:stretch>
      </xdr:blipFill>
      <xdr:spPr>
        <a:xfrm>
          <a:off x="10500730" y="778262"/>
          <a:ext cx="1022197" cy="298730"/>
        </a:xfrm>
        <a:prstGeom prst="rect">
          <a:avLst/>
        </a:prstGeom>
      </xdr:spPr>
    </xdr:pic>
    <xdr:clientData/>
  </xdr:twoCellAnchor>
  <xdr:twoCellAnchor>
    <xdr:from>
      <xdr:col>3</xdr:col>
      <xdr:colOff>325245</xdr:colOff>
      <xdr:row>5</xdr:row>
      <xdr:rowOff>58081</xdr:rowOff>
    </xdr:from>
    <xdr:to>
      <xdr:col>5</xdr:col>
      <xdr:colOff>58079</xdr:colOff>
      <xdr:row>8</xdr:row>
      <xdr:rowOff>81312</xdr:rowOff>
    </xdr:to>
    <xdr:sp macro="" textlink="Pivot!B15">
      <xdr:nvSpPr>
        <xdr:cNvPr id="94" name="Rectangle 93">
          <a:extLst>
            <a:ext uri="{FF2B5EF4-FFF2-40B4-BE49-F238E27FC236}">
              <a16:creationId xmlns:a16="http://schemas.microsoft.com/office/drawing/2014/main" id="{D979D809-D582-9088-5C6D-08370FB731AC}"/>
            </a:ext>
          </a:extLst>
        </xdr:cNvPr>
        <xdr:cNvSpPr/>
      </xdr:nvSpPr>
      <xdr:spPr>
        <a:xfrm>
          <a:off x="2137318" y="987349"/>
          <a:ext cx="940883" cy="580792"/>
        </a:xfrm>
        <a:prstGeom prst="rect">
          <a:avLst/>
        </a:prstGeom>
        <a:noFill/>
        <a:ln>
          <a:noFill/>
        </a:ln>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fld id="{EB1628F7-11F1-4F10-B40A-10562125B328}" type="TxLink">
            <a:rPr lang="en-US" sz="3200" b="0" i="0" u="none" strike="noStrike">
              <a:solidFill>
                <a:schemeClr val="tx2">
                  <a:lumMod val="75000"/>
                  <a:lumOff val="25000"/>
                </a:schemeClr>
              </a:solidFill>
              <a:latin typeface="Aptos Narrow"/>
            </a:rPr>
            <a:pPr algn="ctr"/>
            <a:t>171</a:t>
          </a:fld>
          <a:endParaRPr lang="en-IN" sz="3200">
            <a:solidFill>
              <a:schemeClr val="tx2">
                <a:lumMod val="75000"/>
                <a:lumOff val="25000"/>
              </a:schemeClr>
            </a:solidFill>
          </a:endParaRPr>
        </a:p>
      </xdr:txBody>
    </xdr:sp>
    <xdr:clientData/>
  </xdr:twoCellAnchor>
  <xdr:twoCellAnchor>
    <xdr:from>
      <xdr:col>7</xdr:col>
      <xdr:colOff>118320</xdr:colOff>
      <xdr:row>5</xdr:row>
      <xdr:rowOff>69695</xdr:rowOff>
    </xdr:from>
    <xdr:to>
      <xdr:col>8</xdr:col>
      <xdr:colOff>394939</xdr:colOff>
      <xdr:row>8</xdr:row>
      <xdr:rowOff>81312</xdr:rowOff>
    </xdr:to>
    <xdr:sp macro="" textlink="Pivot!B16">
      <xdr:nvSpPr>
        <xdr:cNvPr id="95" name="Rectangle 94">
          <a:extLst>
            <a:ext uri="{FF2B5EF4-FFF2-40B4-BE49-F238E27FC236}">
              <a16:creationId xmlns:a16="http://schemas.microsoft.com/office/drawing/2014/main" id="{138ABFCB-2CDF-4AB7-B43A-E8177F71B010}"/>
            </a:ext>
          </a:extLst>
        </xdr:cNvPr>
        <xdr:cNvSpPr/>
      </xdr:nvSpPr>
      <xdr:spPr>
        <a:xfrm>
          <a:off x="4346491" y="998963"/>
          <a:ext cx="880643" cy="569178"/>
        </a:xfrm>
        <a:prstGeom prst="rect">
          <a:avLst/>
        </a:prstGeom>
        <a:noFill/>
        <a:ln>
          <a:noFill/>
        </a:ln>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marL="0" indent="0" algn="ctr"/>
          <a:fld id="{D2C2CD23-83B6-4A72-BA77-AC3DB4C7A225}" type="TxLink">
            <a:rPr lang="en-US" sz="3200" b="0" i="0" u="none" strike="noStrike">
              <a:solidFill>
                <a:schemeClr val="tx2">
                  <a:lumMod val="75000"/>
                  <a:lumOff val="25000"/>
                </a:schemeClr>
              </a:solidFill>
              <a:latin typeface="Aptos Narrow"/>
              <a:ea typeface="+mn-ea"/>
              <a:cs typeface="+mn-cs"/>
            </a:rPr>
            <a:pPr marL="0" indent="0" algn="ctr"/>
            <a:t>118</a:t>
          </a:fld>
          <a:endParaRPr lang="en-IN" sz="3200" b="0" i="0" u="none" strike="noStrike">
            <a:solidFill>
              <a:schemeClr val="tx2">
                <a:lumMod val="75000"/>
                <a:lumOff val="25000"/>
              </a:schemeClr>
            </a:solidFill>
            <a:latin typeface="Aptos Narrow"/>
            <a:ea typeface="+mn-ea"/>
            <a:cs typeface="+mn-cs"/>
          </a:endParaRPr>
        </a:p>
      </xdr:txBody>
    </xdr:sp>
    <xdr:clientData/>
  </xdr:twoCellAnchor>
  <xdr:twoCellAnchor>
    <xdr:from>
      <xdr:col>10</xdr:col>
      <xdr:colOff>423481</xdr:colOff>
      <xdr:row>5</xdr:row>
      <xdr:rowOff>116156</xdr:rowOff>
    </xdr:from>
    <xdr:to>
      <xdr:col>12</xdr:col>
      <xdr:colOff>104541</xdr:colOff>
      <xdr:row>8</xdr:row>
      <xdr:rowOff>92927</xdr:rowOff>
    </xdr:to>
    <xdr:sp macro="" textlink="Pivot!B17">
      <xdr:nvSpPr>
        <xdr:cNvPr id="96" name="Rectangle 95">
          <a:extLst>
            <a:ext uri="{FF2B5EF4-FFF2-40B4-BE49-F238E27FC236}">
              <a16:creationId xmlns:a16="http://schemas.microsoft.com/office/drawing/2014/main" id="{DF0A9C1E-DAAF-40AB-B79B-D391E6997050}"/>
            </a:ext>
          </a:extLst>
        </xdr:cNvPr>
        <xdr:cNvSpPr/>
      </xdr:nvSpPr>
      <xdr:spPr>
        <a:xfrm>
          <a:off x="6463725" y="1045424"/>
          <a:ext cx="889109" cy="534332"/>
        </a:xfrm>
        <a:prstGeom prst="rect">
          <a:avLst/>
        </a:prstGeom>
        <a:noFill/>
        <a:ln>
          <a:noFill/>
        </a:ln>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marL="0" indent="0" algn="ctr"/>
          <a:fld id="{39A116CF-730D-4E96-8F8B-3657F2E168A2}" type="TxLink">
            <a:rPr lang="en-US" sz="3200" b="0" i="0" u="none" strike="noStrike">
              <a:solidFill>
                <a:schemeClr val="tx2">
                  <a:lumMod val="75000"/>
                  <a:lumOff val="25000"/>
                </a:schemeClr>
              </a:solidFill>
              <a:latin typeface="Aptos Narrow"/>
              <a:ea typeface="+mn-ea"/>
              <a:cs typeface="+mn-cs"/>
            </a:rPr>
            <a:pPr marL="0" indent="0" algn="ctr"/>
            <a:t>47</a:t>
          </a:fld>
          <a:endParaRPr lang="en-IN" sz="3200" b="0" i="0" u="none" strike="noStrike">
            <a:solidFill>
              <a:schemeClr val="tx2">
                <a:lumMod val="75000"/>
                <a:lumOff val="25000"/>
              </a:schemeClr>
            </a:solidFill>
            <a:latin typeface="Aptos Narrow"/>
            <a:ea typeface="+mn-ea"/>
            <a:cs typeface="+mn-cs"/>
          </a:endParaRPr>
        </a:p>
      </xdr:txBody>
    </xdr:sp>
    <xdr:clientData/>
  </xdr:twoCellAnchor>
  <xdr:twoCellAnchor>
    <xdr:from>
      <xdr:col>14</xdr:col>
      <xdr:colOff>101391</xdr:colOff>
      <xdr:row>5</xdr:row>
      <xdr:rowOff>58079</xdr:rowOff>
    </xdr:from>
    <xdr:to>
      <xdr:col>15</xdr:col>
      <xdr:colOff>453018</xdr:colOff>
      <xdr:row>8</xdr:row>
      <xdr:rowOff>81311</xdr:rowOff>
    </xdr:to>
    <xdr:sp macro="" textlink="Pivot!B18">
      <xdr:nvSpPr>
        <xdr:cNvPr id="97" name="Rectangle 96">
          <a:extLst>
            <a:ext uri="{FF2B5EF4-FFF2-40B4-BE49-F238E27FC236}">
              <a16:creationId xmlns:a16="http://schemas.microsoft.com/office/drawing/2014/main" id="{C26DA21F-2550-4D42-B26A-D0594B84D4A3}"/>
            </a:ext>
          </a:extLst>
        </xdr:cNvPr>
        <xdr:cNvSpPr/>
      </xdr:nvSpPr>
      <xdr:spPr>
        <a:xfrm>
          <a:off x="8557732" y="987347"/>
          <a:ext cx="955652" cy="580793"/>
        </a:xfrm>
        <a:prstGeom prst="rect">
          <a:avLst/>
        </a:prstGeom>
        <a:noFill/>
        <a:ln>
          <a:noFill/>
        </a:ln>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marL="0" indent="0" algn="ctr"/>
          <a:fld id="{2362161F-375D-431D-B19F-18004F20EA43}" type="TxLink">
            <a:rPr lang="en-US" sz="3200" b="0" i="0" u="none" strike="noStrike">
              <a:solidFill>
                <a:schemeClr val="tx2">
                  <a:lumMod val="75000"/>
                  <a:lumOff val="25000"/>
                </a:schemeClr>
              </a:solidFill>
              <a:latin typeface="Aptos Narrow"/>
              <a:ea typeface="+mn-ea"/>
              <a:cs typeface="+mn-cs"/>
            </a:rPr>
            <a:pPr marL="0" indent="0" algn="ctr"/>
            <a:t>27%</a:t>
          </a:fld>
          <a:endParaRPr lang="en-IN" sz="3200" b="0" i="0" u="none" strike="noStrike">
            <a:solidFill>
              <a:schemeClr val="tx2">
                <a:lumMod val="75000"/>
                <a:lumOff val="25000"/>
              </a:schemeClr>
            </a:solidFill>
            <a:latin typeface="Aptos Narrow"/>
            <a:ea typeface="+mn-ea"/>
            <a:cs typeface="+mn-cs"/>
          </a:endParaRPr>
        </a:p>
      </xdr:txBody>
    </xdr:sp>
    <xdr:clientData/>
  </xdr:twoCellAnchor>
  <xdr:twoCellAnchor>
    <xdr:from>
      <xdr:col>17</xdr:col>
      <xdr:colOff>325243</xdr:colOff>
      <xdr:row>5</xdr:row>
      <xdr:rowOff>46464</xdr:rowOff>
    </xdr:from>
    <xdr:to>
      <xdr:col>19</xdr:col>
      <xdr:colOff>58081</xdr:colOff>
      <xdr:row>8</xdr:row>
      <xdr:rowOff>69695</xdr:rowOff>
    </xdr:to>
    <xdr:sp macro="" textlink="Pivot!B19">
      <xdr:nvSpPr>
        <xdr:cNvPr id="98" name="Rectangle 97">
          <a:extLst>
            <a:ext uri="{FF2B5EF4-FFF2-40B4-BE49-F238E27FC236}">
              <a16:creationId xmlns:a16="http://schemas.microsoft.com/office/drawing/2014/main" id="{30DB3313-AED3-4EAC-A6DD-86CF403062BE}"/>
            </a:ext>
          </a:extLst>
        </xdr:cNvPr>
        <xdr:cNvSpPr/>
      </xdr:nvSpPr>
      <xdr:spPr>
        <a:xfrm>
          <a:off x="10593658" y="975732"/>
          <a:ext cx="940886" cy="580792"/>
        </a:xfrm>
        <a:prstGeom prst="rect">
          <a:avLst/>
        </a:prstGeom>
        <a:noFill/>
        <a:ln>
          <a:noFill/>
        </a:ln>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marL="0" indent="0" algn="ctr"/>
          <a:fld id="{2AF74BF9-C132-4F21-B406-1C261C34D4A4}" type="TxLink">
            <a:rPr lang="en-US" sz="3200" b="0" i="0" u="none" strike="noStrike">
              <a:solidFill>
                <a:schemeClr val="tx2">
                  <a:lumMod val="75000"/>
                  <a:lumOff val="25000"/>
                </a:schemeClr>
              </a:solidFill>
              <a:latin typeface="Aptos Narrow"/>
              <a:ea typeface="+mn-ea"/>
              <a:cs typeface="+mn-cs"/>
            </a:rPr>
            <a:pPr marL="0" indent="0" algn="ctr"/>
            <a:t>6</a:t>
          </a:fld>
          <a:endParaRPr lang="en-IN" sz="3200" b="0" i="0" u="none" strike="noStrike">
            <a:solidFill>
              <a:schemeClr val="tx2">
                <a:lumMod val="75000"/>
                <a:lumOff val="25000"/>
              </a:schemeClr>
            </a:solidFill>
            <a:latin typeface="Aptos Narrow"/>
            <a:ea typeface="+mn-ea"/>
            <a:cs typeface="+mn-cs"/>
          </a:endParaRPr>
        </a:p>
      </xdr:txBody>
    </xdr:sp>
    <xdr:clientData/>
  </xdr:twoCellAnchor>
  <xdr:twoCellAnchor>
    <xdr:from>
      <xdr:col>1</xdr:col>
      <xdr:colOff>583407</xdr:colOff>
      <xdr:row>9</xdr:row>
      <xdr:rowOff>65794</xdr:rowOff>
    </xdr:from>
    <xdr:to>
      <xdr:col>8</xdr:col>
      <xdr:colOff>188120</xdr:colOff>
      <xdr:row>22</xdr:row>
      <xdr:rowOff>166687</xdr:rowOff>
    </xdr:to>
    <xdr:graphicFrame macro="">
      <xdr:nvGraphicFramePr>
        <xdr:cNvPr id="8" name="Chart 7">
          <a:extLst>
            <a:ext uri="{FF2B5EF4-FFF2-40B4-BE49-F238E27FC236}">
              <a16:creationId xmlns:a16="http://schemas.microsoft.com/office/drawing/2014/main" id="{CC14FC69-8E2D-41C5-85E2-A42E97CF76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8</xdr:col>
      <xdr:colOff>183253</xdr:colOff>
      <xdr:row>9</xdr:row>
      <xdr:rowOff>71083</xdr:rowOff>
    </xdr:from>
    <xdr:to>
      <xdr:col>13</xdr:col>
      <xdr:colOff>255894</xdr:colOff>
      <xdr:row>22</xdr:row>
      <xdr:rowOff>156380</xdr:rowOff>
    </xdr:to>
    <xdr:graphicFrame macro="">
      <xdr:nvGraphicFramePr>
        <xdr:cNvPr id="9" name="Chart 8">
          <a:extLst>
            <a:ext uri="{FF2B5EF4-FFF2-40B4-BE49-F238E27FC236}">
              <a16:creationId xmlns:a16="http://schemas.microsoft.com/office/drawing/2014/main" id="{2B442135-1643-40CF-A181-8879733D0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284325</xdr:colOff>
      <xdr:row>9</xdr:row>
      <xdr:rowOff>85301</xdr:rowOff>
    </xdr:from>
    <xdr:to>
      <xdr:col>19</xdr:col>
      <xdr:colOff>398060</xdr:colOff>
      <xdr:row>23</xdr:row>
      <xdr:rowOff>28433</xdr:rowOff>
    </xdr:to>
    <xdr:graphicFrame macro="">
      <xdr:nvGraphicFramePr>
        <xdr:cNvPr id="10" name="Chart 9">
          <a:extLst>
            <a:ext uri="{FF2B5EF4-FFF2-40B4-BE49-F238E27FC236}">
              <a16:creationId xmlns:a16="http://schemas.microsoft.com/office/drawing/2014/main" id="{0E4B2580-6FAC-4DBE-BA2E-1F601A4A6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570912</xdr:colOff>
      <xdr:row>22</xdr:row>
      <xdr:rowOff>144129</xdr:rowOff>
    </xdr:from>
    <xdr:to>
      <xdr:col>6</xdr:col>
      <xdr:colOff>383843</xdr:colOff>
      <xdr:row>36</xdr:row>
      <xdr:rowOff>71082</xdr:rowOff>
    </xdr:to>
    <xdr:graphicFrame macro="">
      <xdr:nvGraphicFramePr>
        <xdr:cNvPr id="18" name="Chart 17">
          <a:extLst>
            <a:ext uri="{FF2B5EF4-FFF2-40B4-BE49-F238E27FC236}">
              <a16:creationId xmlns:a16="http://schemas.microsoft.com/office/drawing/2014/main" id="{25FD98C5-3288-4D88-BACE-9BD81B03E7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6</xdr:col>
      <xdr:colOff>317674</xdr:colOff>
      <xdr:row>22</xdr:row>
      <xdr:rowOff>156381</xdr:rowOff>
    </xdr:from>
    <xdr:to>
      <xdr:col>11</xdr:col>
      <xdr:colOff>99515</xdr:colOff>
      <xdr:row>36</xdr:row>
      <xdr:rowOff>42649</xdr:rowOff>
    </xdr:to>
    <mc:AlternateContent xmlns:mc="http://schemas.openxmlformats.org/markup-compatibility/2006">
      <mc:Choice xmlns:cx2="http://schemas.microsoft.com/office/drawing/2015/10/21/chartex" Requires="cx2">
        <xdr:graphicFrame macro="">
          <xdr:nvGraphicFramePr>
            <xdr:cNvPr id="19" name="Chart 18">
              <a:extLst>
                <a:ext uri="{FF2B5EF4-FFF2-40B4-BE49-F238E27FC236}">
                  <a16:creationId xmlns:a16="http://schemas.microsoft.com/office/drawing/2014/main" id="{1371F678-081A-4394-8964-7FFAAC9FFD5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5"/>
            </a:graphicData>
          </a:graphic>
        </xdr:graphicFrame>
      </mc:Choice>
      <mc:Fallback>
        <xdr:sp macro="" textlink="">
          <xdr:nvSpPr>
            <xdr:cNvPr id="0" name=""/>
            <xdr:cNvSpPr>
              <a:spLocks noTextEdit="1"/>
            </xdr:cNvSpPr>
          </xdr:nvSpPr>
          <xdr:spPr>
            <a:xfrm>
              <a:off x="3975274" y="4337856"/>
              <a:ext cx="2829841" cy="255326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100991</xdr:colOff>
      <xdr:row>22</xdr:row>
      <xdr:rowOff>161746</xdr:rowOff>
    </xdr:from>
    <xdr:to>
      <xdr:col>14</xdr:col>
      <xdr:colOff>456401</xdr:colOff>
      <xdr:row>36</xdr:row>
      <xdr:rowOff>53915</xdr:rowOff>
    </xdr:to>
    <xdr:graphicFrame macro="">
      <xdr:nvGraphicFramePr>
        <xdr:cNvPr id="25" name="Chart 24">
          <a:extLst>
            <a:ext uri="{FF2B5EF4-FFF2-40B4-BE49-F238E27FC236}">
              <a16:creationId xmlns:a16="http://schemas.microsoft.com/office/drawing/2014/main" id="{88FBF6D9-B874-4C93-80F9-592D95BA77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14</xdr:col>
      <xdr:colOff>454925</xdr:colOff>
      <xdr:row>23</xdr:row>
      <xdr:rowOff>20632</xdr:rowOff>
    </xdr:from>
    <xdr:to>
      <xdr:col>19</xdr:col>
      <xdr:colOff>369627</xdr:colOff>
      <xdr:row>36</xdr:row>
      <xdr:rowOff>56865</xdr:rowOff>
    </xdr:to>
    <xdr:graphicFrame macro="">
      <xdr:nvGraphicFramePr>
        <xdr:cNvPr id="27" name="Chart 26">
          <a:extLst>
            <a:ext uri="{FF2B5EF4-FFF2-40B4-BE49-F238E27FC236}">
              <a16:creationId xmlns:a16="http://schemas.microsoft.com/office/drawing/2014/main" id="{68DC58D5-5F32-44A2-9513-E4883208F9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oneCell">
    <xdr:from>
      <xdr:col>0</xdr:col>
      <xdr:colOff>0</xdr:colOff>
      <xdr:row>4</xdr:row>
      <xdr:rowOff>6115</xdr:rowOff>
    </xdr:from>
    <xdr:to>
      <xdr:col>1</xdr:col>
      <xdr:colOff>587963</xdr:colOff>
      <xdr:row>16</xdr:row>
      <xdr:rowOff>53153</xdr:rowOff>
    </xdr:to>
    <mc:AlternateContent xmlns:mc="http://schemas.openxmlformats.org/markup-compatibility/2006">
      <mc:Choice xmlns:a14="http://schemas.microsoft.com/office/drawing/2010/main" Requires="a14">
        <xdr:graphicFrame macro="">
          <xdr:nvGraphicFramePr>
            <xdr:cNvPr id="32" name="Reporting Manager">
              <a:extLst>
                <a:ext uri="{FF2B5EF4-FFF2-40B4-BE49-F238E27FC236}">
                  <a16:creationId xmlns:a16="http://schemas.microsoft.com/office/drawing/2014/main" id="{A5380133-74E4-4948-A25F-0BA13C7D1E29}"/>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dr:sp macro="" textlink="">
          <xdr:nvSpPr>
            <xdr:cNvPr id="0" name=""/>
            <xdr:cNvSpPr>
              <a:spLocks noTextEdit="1"/>
            </xdr:cNvSpPr>
          </xdr:nvSpPr>
          <xdr:spPr>
            <a:xfrm>
              <a:off x="0" y="758590"/>
              <a:ext cx="1197563" cy="23330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16</xdr:row>
      <xdr:rowOff>65822</xdr:rowOff>
    </xdr:from>
    <xdr:to>
      <xdr:col>1</xdr:col>
      <xdr:colOff>571500</xdr:colOff>
      <xdr:row>36</xdr:row>
      <xdr:rowOff>74807</xdr:rowOff>
    </xdr:to>
    <mc:AlternateContent xmlns:mc="http://schemas.openxmlformats.org/markup-compatibility/2006">
      <mc:Choice xmlns:a14="http://schemas.microsoft.com/office/drawing/2010/main" Requires="a14">
        <xdr:graphicFrame macro="">
          <xdr:nvGraphicFramePr>
            <xdr:cNvPr id="33" name="Department">
              <a:extLst>
                <a:ext uri="{FF2B5EF4-FFF2-40B4-BE49-F238E27FC236}">
                  <a16:creationId xmlns:a16="http://schemas.microsoft.com/office/drawing/2014/main" id="{DDC35A73-EF1F-4AFD-B117-834A4823F91B}"/>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0" y="3104297"/>
              <a:ext cx="1181100" cy="38189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323851</xdr:colOff>
      <xdr:row>0</xdr:row>
      <xdr:rowOff>9526</xdr:rowOff>
    </xdr:from>
    <xdr:to>
      <xdr:col>18</xdr:col>
      <xdr:colOff>361951</xdr:colOff>
      <xdr:row>3</xdr:row>
      <xdr:rowOff>95251</xdr:rowOff>
    </xdr:to>
    <xdr:pic macro="[0]!refresh">
      <xdr:nvPicPr>
        <xdr:cNvPr id="34" name="Graphic 33" descr="Arrow circle with solid fill">
          <a:extLst>
            <a:ext uri="{FF2B5EF4-FFF2-40B4-BE49-F238E27FC236}">
              <a16:creationId xmlns:a16="http://schemas.microsoft.com/office/drawing/2014/main" id="{BE79028F-DD93-77ED-DCF6-6A8FCE8C8E31}"/>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0687051" y="9526"/>
          <a:ext cx="647700" cy="647700"/>
        </a:xfrm>
        <a:prstGeom prst="rect">
          <a:avLst/>
        </a:prstGeom>
      </xdr:spPr>
    </xdr:pic>
    <xdr:clientData/>
  </xdr:twoCellAnchor>
  <xdr:twoCellAnchor>
    <xdr:from>
      <xdr:col>3</xdr:col>
      <xdr:colOff>219074</xdr:colOff>
      <xdr:row>4</xdr:row>
      <xdr:rowOff>47625</xdr:rowOff>
    </xdr:from>
    <xdr:to>
      <xdr:col>5</xdr:col>
      <xdr:colOff>352425</xdr:colOff>
      <xdr:row>5</xdr:row>
      <xdr:rowOff>104775</xdr:rowOff>
    </xdr:to>
    <xdr:sp macro="" textlink="">
      <xdr:nvSpPr>
        <xdr:cNvPr id="20" name="TextBox 19">
          <a:extLst>
            <a:ext uri="{FF2B5EF4-FFF2-40B4-BE49-F238E27FC236}">
              <a16:creationId xmlns:a16="http://schemas.microsoft.com/office/drawing/2014/main" id="{5ED02A7F-CF5E-B46B-B213-CDE85323E80D}"/>
            </a:ext>
          </a:extLst>
        </xdr:cNvPr>
        <xdr:cNvSpPr txBox="1"/>
      </xdr:nvSpPr>
      <xdr:spPr>
        <a:xfrm>
          <a:off x="2047874" y="800100"/>
          <a:ext cx="13525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cap="none" spc="0">
              <a:ln w="0"/>
              <a:solidFill>
                <a:schemeClr val="tx2">
                  <a:lumMod val="50000"/>
                  <a:lumOff val="50000"/>
                </a:schemeClr>
              </a:solidFill>
              <a:effectLst>
                <a:outerShdw blurRad="38100" dist="25400" dir="5400000" algn="ctr" rotWithShape="0">
                  <a:srgbClr val="6E747A">
                    <a:alpha val="43000"/>
                  </a:srgbClr>
                </a:outerShdw>
              </a:effectLst>
              <a:latin typeface="Times New Roman" panose="02020603050405020304" pitchFamily="18" charset="0"/>
              <a:ea typeface="+mn-ea"/>
              <a:cs typeface="Times New Roman" panose="02020603050405020304" pitchFamily="18" charset="0"/>
            </a:rPr>
            <a:t>OVERALL</a:t>
          </a:r>
          <a:r>
            <a:rPr lang="en-IN" sz="1200" b="0" cap="none" spc="0" baseline="0">
              <a:ln w="0"/>
              <a:solidFill>
                <a:schemeClr val="tx2">
                  <a:lumMod val="50000"/>
                  <a:lumOff val="50000"/>
                </a:schemeClr>
              </a:solidFill>
              <a:effectLst>
                <a:outerShdw blurRad="38100" dist="25400" dir="5400000" algn="ctr" rotWithShape="0">
                  <a:srgbClr val="6E747A">
                    <a:alpha val="43000"/>
                  </a:srgbClr>
                </a:outerShdw>
              </a:effectLst>
              <a:latin typeface="Times New Roman" panose="02020603050405020304" pitchFamily="18" charset="0"/>
              <a:cs typeface="Times New Roman" panose="02020603050405020304" pitchFamily="18" charset="0"/>
            </a:rPr>
            <a:t> HC</a:t>
          </a:r>
          <a:endParaRPr lang="en-IN" sz="1200" b="0" cap="none" spc="0">
            <a:ln w="0"/>
            <a:solidFill>
              <a:schemeClr val="tx2">
                <a:lumMod val="50000"/>
                <a:lumOff val="50000"/>
              </a:schemeClr>
            </a:solidFill>
            <a:effectLst>
              <a:outerShdw blurRad="38100" dist="25400" dir="5400000" algn="ctr" rotWithShape="0">
                <a:srgbClr val="6E747A">
                  <a:alpha val="43000"/>
                </a:srgbClr>
              </a:outerShdw>
            </a:effectLst>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0.32219</cdr:x>
      <cdr:y>0.12745</cdr:y>
    </cdr:from>
    <cdr:to>
      <cdr:x>0.63222</cdr:x>
      <cdr:y>0.23039</cdr:y>
    </cdr:to>
    <cdr:sp macro="" textlink="">
      <cdr:nvSpPr>
        <cdr:cNvPr id="3" name="TextBox 2">
          <a:extLst xmlns:a="http://schemas.openxmlformats.org/drawingml/2006/main">
            <a:ext uri="{FF2B5EF4-FFF2-40B4-BE49-F238E27FC236}">
              <a16:creationId xmlns:a16="http://schemas.microsoft.com/office/drawing/2014/main" id="{09B1F9F6-404A-1F11-078C-7DB42A0FD607}"/>
            </a:ext>
          </a:extLst>
        </cdr:cNvPr>
        <cdr:cNvSpPr txBox="1"/>
      </cdr:nvSpPr>
      <cdr:spPr>
        <a:xfrm xmlns:a="http://schemas.openxmlformats.org/drawingml/2006/main">
          <a:off x="1231281" y="302011"/>
          <a:ext cx="1184817" cy="2439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0.32827</cdr:x>
      <cdr:y>0.03922</cdr:y>
    </cdr:from>
    <cdr:to>
      <cdr:x>0.63222</cdr:x>
      <cdr:y>0.17647</cdr:y>
    </cdr:to>
    <cdr:sp macro="" textlink="">
      <cdr:nvSpPr>
        <cdr:cNvPr id="5" name="TextBox 4">
          <a:extLst xmlns:a="http://schemas.openxmlformats.org/drawingml/2006/main">
            <a:ext uri="{FF2B5EF4-FFF2-40B4-BE49-F238E27FC236}">
              <a16:creationId xmlns:a16="http://schemas.microsoft.com/office/drawing/2014/main" id="{3FE57484-CF79-32AB-2E48-488FCBF42EDE}"/>
            </a:ext>
          </a:extLst>
        </cdr:cNvPr>
        <cdr:cNvSpPr txBox="1"/>
      </cdr:nvSpPr>
      <cdr:spPr>
        <a:xfrm xmlns:a="http://schemas.openxmlformats.org/drawingml/2006/main">
          <a:off x="1254512" y="92926"/>
          <a:ext cx="1161586" cy="32524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drawings/drawing3.xml><?xml version="1.0" encoding="utf-8"?>
<c:userShapes xmlns:c="http://schemas.openxmlformats.org/drawingml/2006/chart">
  <cdr:relSizeAnchor xmlns:cdr="http://schemas.openxmlformats.org/drawingml/2006/chartDrawing">
    <cdr:from>
      <cdr:x>0.61272</cdr:x>
      <cdr:y>0.16841</cdr:y>
    </cdr:from>
    <cdr:to>
      <cdr:x>0.79484</cdr:x>
      <cdr:y>0.40141</cdr:y>
    </cdr:to>
    <cdr:pic>
      <cdr:nvPicPr>
        <cdr:cNvPr id="3" name="Graphic 2" descr="Woman with solid fill">
          <a:extLst xmlns:a="http://schemas.openxmlformats.org/drawingml/2006/main">
            <a:ext uri="{FF2B5EF4-FFF2-40B4-BE49-F238E27FC236}">
              <a16:creationId xmlns:a16="http://schemas.microsoft.com/office/drawing/2014/main" id="{3C33C04A-2EDE-6589-12D2-49D3195DA09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919054" y="412276"/>
          <a:ext cx="570378" cy="570378"/>
        </a:xfrm>
        <a:prstGeom xmlns:a="http://schemas.openxmlformats.org/drawingml/2006/main" prst="rect">
          <a:avLst/>
        </a:prstGeom>
      </cdr:spPr>
    </cdr:pic>
  </cdr:relSizeAnchor>
  <cdr:relSizeAnchor xmlns:cdr="http://schemas.openxmlformats.org/drawingml/2006/chartDrawing">
    <cdr:from>
      <cdr:x>0.6218</cdr:x>
      <cdr:y>0.48056</cdr:y>
    </cdr:from>
    <cdr:to>
      <cdr:x>0.80845</cdr:x>
      <cdr:y>0.71936</cdr:y>
    </cdr:to>
    <cdr:pic>
      <cdr:nvPicPr>
        <cdr:cNvPr id="5" name="Graphic 4" descr="Man with solid fill">
          <a:extLst xmlns:a="http://schemas.openxmlformats.org/drawingml/2006/main">
            <a:ext uri="{FF2B5EF4-FFF2-40B4-BE49-F238E27FC236}">
              <a16:creationId xmlns:a16="http://schemas.microsoft.com/office/drawing/2014/main" id="{54E414E3-CC48-4586-1173-E188D8D42CA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1947488" y="1176408"/>
          <a:ext cx="584593" cy="584593"/>
        </a:xfrm>
        <a:prstGeom xmlns:a="http://schemas.openxmlformats.org/drawingml/2006/main" prst="rect">
          <a:avLst/>
        </a:prstGeom>
      </cdr:spPr>
    </cdr:pic>
  </cdr:relSizeAnchor>
  <cdr:relSizeAnchor xmlns:cdr="http://schemas.openxmlformats.org/drawingml/2006/chartDrawing">
    <cdr:from>
      <cdr:x>0.84477</cdr:x>
      <cdr:y>0.12096</cdr:y>
    </cdr:from>
    <cdr:to>
      <cdr:x>0.96278</cdr:x>
      <cdr:y>0.25453</cdr:y>
    </cdr:to>
    <cdr:sp macro="" textlink="">
      <cdr:nvSpPr>
        <cdr:cNvPr id="6" name="TextBox 5">
          <a:extLst xmlns:a="http://schemas.openxmlformats.org/drawingml/2006/main">
            <a:ext uri="{FF2B5EF4-FFF2-40B4-BE49-F238E27FC236}">
              <a16:creationId xmlns:a16="http://schemas.microsoft.com/office/drawing/2014/main" id="{8AAAB483-3C3B-C576-8376-09FF4BC20F0B}"/>
            </a:ext>
          </a:extLst>
        </cdr:cNvPr>
        <cdr:cNvSpPr txBox="1"/>
      </cdr:nvSpPr>
      <cdr:spPr>
        <a:xfrm xmlns:a="http://schemas.openxmlformats.org/drawingml/2006/main">
          <a:off x="2645814" y="296121"/>
          <a:ext cx="369627" cy="3269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0.82661</cdr:x>
      <cdr:y>0.13839</cdr:y>
    </cdr:from>
    <cdr:to>
      <cdr:x>0.96732</cdr:x>
      <cdr:y>0.33003</cdr:y>
    </cdr:to>
    <cdr:sp macro="" textlink="">
      <cdr:nvSpPr>
        <cdr:cNvPr id="7" name="TextBox 6">
          <a:extLst xmlns:a="http://schemas.openxmlformats.org/drawingml/2006/main">
            <a:ext uri="{FF2B5EF4-FFF2-40B4-BE49-F238E27FC236}">
              <a16:creationId xmlns:a16="http://schemas.microsoft.com/office/drawing/2014/main" id="{AF4E93DD-4398-C89F-FAF2-8E6029825E57}"/>
            </a:ext>
          </a:extLst>
        </cdr:cNvPr>
        <cdr:cNvSpPr txBox="1"/>
      </cdr:nvSpPr>
      <cdr:spPr>
        <a:xfrm xmlns:a="http://schemas.openxmlformats.org/drawingml/2006/main">
          <a:off x="2588949" y="338770"/>
          <a:ext cx="440709" cy="4691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0.74581</cdr:x>
      <cdr:y>0.31842</cdr:y>
    </cdr:from>
    <cdr:to>
      <cdr:x>1</cdr:x>
      <cdr:y>0.39391</cdr:y>
    </cdr:to>
    <cdr:sp macro="" textlink="">
      <cdr:nvSpPr>
        <cdr:cNvPr id="8" name="TextBox 7">
          <a:extLst xmlns:a="http://schemas.openxmlformats.org/drawingml/2006/main">
            <a:ext uri="{FF2B5EF4-FFF2-40B4-BE49-F238E27FC236}">
              <a16:creationId xmlns:a16="http://schemas.microsoft.com/office/drawing/2014/main" id="{953DABE7-19A4-E4C1-20BA-D7D94855DBF6}"/>
            </a:ext>
          </a:extLst>
        </cdr:cNvPr>
        <cdr:cNvSpPr txBox="1"/>
      </cdr:nvSpPr>
      <cdr:spPr>
        <a:xfrm xmlns:a="http://schemas.openxmlformats.org/drawingml/2006/main">
          <a:off x="2335881" y="779480"/>
          <a:ext cx="796119" cy="18481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000" b="1" kern="1200">
              <a:solidFill>
                <a:schemeClr val="accent6">
                  <a:lumMod val="75000"/>
                </a:schemeClr>
              </a:solidFill>
              <a:latin typeface="Times New Roman" panose="02020603050405020304" pitchFamily="18" charset="0"/>
              <a:cs typeface="Times New Roman" panose="02020603050405020304" pitchFamily="18" charset="0"/>
            </a:rPr>
            <a:t>FEMALE</a:t>
          </a:r>
        </a:p>
        <a:p xmlns:a="http://schemas.openxmlformats.org/drawingml/2006/main">
          <a:endParaRPr lang="en-IN" sz="1000" b="1" kern="1200">
            <a:solidFill>
              <a:schemeClr val="accent6">
                <a:lumMod val="75000"/>
              </a:schemeClr>
            </a:solidFill>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0.79211</cdr:x>
      <cdr:y>0.16742</cdr:y>
    </cdr:from>
    <cdr:to>
      <cdr:x>0.99002</cdr:x>
      <cdr:y>0.33584</cdr:y>
    </cdr:to>
    <cdr:sp macro="" textlink="Pivot!$J$15">
      <cdr:nvSpPr>
        <cdr:cNvPr id="9" name="TextBox 1">
          <a:extLst xmlns:a="http://schemas.openxmlformats.org/drawingml/2006/main">
            <a:ext uri="{FF2B5EF4-FFF2-40B4-BE49-F238E27FC236}">
              <a16:creationId xmlns:a16="http://schemas.microsoft.com/office/drawing/2014/main" id="{4B33736C-5B62-459B-1906-69E6E3F80988}"/>
            </a:ext>
          </a:extLst>
        </cdr:cNvPr>
        <cdr:cNvSpPr txBox="1"/>
      </cdr:nvSpPr>
      <cdr:spPr>
        <a:xfrm xmlns:a="http://schemas.openxmlformats.org/drawingml/2006/main">
          <a:off x="2480874" y="409853"/>
          <a:ext cx="619869" cy="41227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A3C146C-11D9-44DE-AFB3-A4A1C1B70AEC}" type="TxLink">
            <a:rPr lang="en-US" sz="2000" b="0" i="0" u="none" strike="noStrike" kern="1200">
              <a:solidFill>
                <a:schemeClr val="accent6">
                  <a:lumMod val="50000"/>
                </a:schemeClr>
              </a:solidFill>
              <a:latin typeface="Aptos Narrow"/>
              <a:cs typeface="Times New Roman" panose="02020603050405020304" pitchFamily="18" charset="0"/>
            </a:rPr>
            <a:pPr/>
            <a:t>45</a:t>
          </a:fld>
          <a:endParaRPr lang="en-IN" sz="1600" b="1" kern="1200">
            <a:solidFill>
              <a:schemeClr val="accent6">
                <a:lumMod val="50000"/>
              </a:schemeClr>
            </a:solidFill>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0.77849</cdr:x>
      <cdr:y>0.64795</cdr:y>
    </cdr:from>
    <cdr:to>
      <cdr:x>1</cdr:x>
      <cdr:y>0.75397</cdr:y>
    </cdr:to>
    <cdr:sp macro="" textlink="">
      <cdr:nvSpPr>
        <cdr:cNvPr id="10" name="TextBox 1">
          <a:extLst xmlns:a="http://schemas.openxmlformats.org/drawingml/2006/main">
            <a:ext uri="{FF2B5EF4-FFF2-40B4-BE49-F238E27FC236}">
              <a16:creationId xmlns:a16="http://schemas.microsoft.com/office/drawing/2014/main" id="{4B33736C-5B62-459B-1906-69E6E3F80988}"/>
            </a:ext>
          </a:extLst>
        </cdr:cNvPr>
        <cdr:cNvSpPr txBox="1"/>
      </cdr:nvSpPr>
      <cdr:spPr>
        <a:xfrm xmlns:a="http://schemas.openxmlformats.org/drawingml/2006/main">
          <a:off x="2438224" y="1586173"/>
          <a:ext cx="693776" cy="2595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000" b="1" kern="1200">
              <a:solidFill>
                <a:schemeClr val="accent6">
                  <a:lumMod val="75000"/>
                </a:schemeClr>
              </a:solidFill>
              <a:latin typeface="Times New Roman" panose="02020603050405020304" pitchFamily="18" charset="0"/>
              <a:cs typeface="Times New Roman" panose="02020603050405020304" pitchFamily="18" charset="0"/>
            </a:rPr>
            <a:t>MALE</a:t>
          </a:r>
        </a:p>
        <a:p xmlns:a="http://schemas.openxmlformats.org/drawingml/2006/main">
          <a:endParaRPr lang="en-IN" sz="1000" b="1" kern="1200">
            <a:solidFill>
              <a:schemeClr val="accent6">
                <a:lumMod val="75000"/>
              </a:schemeClr>
            </a:solidFill>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0.80118</cdr:x>
      <cdr:y>0.50425</cdr:y>
    </cdr:from>
    <cdr:to>
      <cdr:x>0.9764</cdr:x>
      <cdr:y>0.65524</cdr:y>
    </cdr:to>
    <cdr:sp macro="" textlink="Pivot!$J$16">
      <cdr:nvSpPr>
        <cdr:cNvPr id="12" name="TextBox 1">
          <a:extLst xmlns:a="http://schemas.openxmlformats.org/drawingml/2006/main">
            <a:ext uri="{FF2B5EF4-FFF2-40B4-BE49-F238E27FC236}">
              <a16:creationId xmlns:a16="http://schemas.microsoft.com/office/drawing/2014/main" id="{3B17B814-85B4-1BFA-B9DC-7BD839BBCB2A}"/>
            </a:ext>
          </a:extLst>
        </cdr:cNvPr>
        <cdr:cNvSpPr txBox="1"/>
      </cdr:nvSpPr>
      <cdr:spPr>
        <a:xfrm xmlns:a="http://schemas.openxmlformats.org/drawingml/2006/main">
          <a:off x="2509306" y="1234404"/>
          <a:ext cx="548783" cy="36962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C351F6F-09F7-46F4-A691-8746AD85A031}" type="TxLink">
            <a:rPr lang="en-US" sz="2000" b="0" i="0" u="none" strike="noStrike" kern="1200">
              <a:solidFill>
                <a:schemeClr val="accent6">
                  <a:lumMod val="50000"/>
                </a:schemeClr>
              </a:solidFill>
              <a:latin typeface="Aptos Narrow"/>
              <a:cs typeface="Times New Roman" panose="02020603050405020304" pitchFamily="18" charset="0"/>
            </a:rPr>
            <a:pPr/>
            <a:t>73</a:t>
          </a:fld>
          <a:endParaRPr lang="en-IN" sz="3200" b="1" kern="1200">
            <a:solidFill>
              <a:schemeClr val="accent6">
                <a:lumMod val="50000"/>
              </a:schemeClr>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0.66794</cdr:x>
      <cdr:y>0.1954</cdr:y>
    </cdr:from>
    <cdr:to>
      <cdr:x>0.96183</cdr:x>
      <cdr:y>0.29885</cdr:y>
    </cdr:to>
    <cdr:sp macro="" textlink="">
      <cdr:nvSpPr>
        <cdr:cNvPr id="18" name="TextBox 17">
          <a:extLst xmlns:a="http://schemas.openxmlformats.org/drawingml/2006/main">
            <a:ext uri="{FF2B5EF4-FFF2-40B4-BE49-F238E27FC236}">
              <a16:creationId xmlns:a16="http://schemas.microsoft.com/office/drawing/2014/main" id="{2FD0546A-FF97-69A0-CFAB-A379F68A74E1}"/>
            </a:ext>
          </a:extLst>
        </cdr:cNvPr>
        <cdr:cNvSpPr txBox="1"/>
      </cdr:nvSpPr>
      <cdr:spPr>
        <a:xfrm xmlns:a="http://schemas.openxmlformats.org/drawingml/2006/main">
          <a:off x="2487873" y="483357"/>
          <a:ext cx="1094664" cy="25589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0.63985</cdr:x>
      <cdr:y>0.11494</cdr:y>
    </cdr:from>
    <cdr:to>
      <cdr:x>0.98084</cdr:x>
      <cdr:y>0.21839</cdr:y>
    </cdr:to>
    <cdr:sp macro="" textlink="">
      <cdr:nvSpPr>
        <cdr:cNvPr id="27" name="TextBox 26">
          <a:extLst xmlns:a="http://schemas.openxmlformats.org/drawingml/2006/main">
            <a:ext uri="{FF2B5EF4-FFF2-40B4-BE49-F238E27FC236}">
              <a16:creationId xmlns:a16="http://schemas.microsoft.com/office/drawing/2014/main" id="{3891EAFE-48CA-769D-A61B-11DFD642AD9E}"/>
            </a:ext>
          </a:extLst>
        </cdr:cNvPr>
        <cdr:cNvSpPr txBox="1"/>
      </cdr:nvSpPr>
      <cdr:spPr>
        <a:xfrm xmlns:a="http://schemas.openxmlformats.org/drawingml/2006/main">
          <a:off x="2374143" y="284325"/>
          <a:ext cx="1265262" cy="25589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IN" sz="1100" kern="1200">
              <a:solidFill>
                <a:schemeClr val="accent6">
                  <a:lumMod val="75000"/>
                </a:schemeClr>
              </a:solidFill>
              <a:latin typeface="Times New Roman" panose="02020603050405020304" pitchFamily="18" charset="0"/>
              <a:cs typeface="Times New Roman" panose="02020603050405020304" pitchFamily="18" charset="0"/>
            </a:rPr>
            <a:t>MANAGEMENT</a:t>
          </a:r>
        </a:p>
      </cdr:txBody>
    </cdr:sp>
  </cdr:relSizeAnchor>
  <cdr:relSizeAnchor xmlns:cdr="http://schemas.openxmlformats.org/drawingml/2006/chartDrawing">
    <cdr:from>
      <cdr:x>0.7318</cdr:x>
      <cdr:y>0.35632</cdr:y>
    </cdr:from>
    <cdr:to>
      <cdr:x>0.95785</cdr:x>
      <cdr:y>0.46552</cdr:y>
    </cdr:to>
    <cdr:sp macro="" textlink="">
      <cdr:nvSpPr>
        <cdr:cNvPr id="32" name="TextBox 31">
          <a:extLst xmlns:a="http://schemas.openxmlformats.org/drawingml/2006/main">
            <a:ext uri="{FF2B5EF4-FFF2-40B4-BE49-F238E27FC236}">
              <a16:creationId xmlns:a16="http://schemas.microsoft.com/office/drawing/2014/main" id="{841B9619-63D0-3D09-7D2A-90FA1AC7B560}"/>
            </a:ext>
          </a:extLst>
        </cdr:cNvPr>
        <cdr:cNvSpPr txBox="1"/>
      </cdr:nvSpPr>
      <cdr:spPr>
        <a:xfrm xmlns:a="http://schemas.openxmlformats.org/drawingml/2006/main">
          <a:off x="2715336" y="881417"/>
          <a:ext cx="838769" cy="27011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0.65517</cdr:x>
      <cdr:y>0.32184</cdr:y>
    </cdr:from>
    <cdr:to>
      <cdr:x>0.99617</cdr:x>
      <cdr:y>0.45977</cdr:y>
    </cdr:to>
    <cdr:sp macro="" textlink="">
      <cdr:nvSpPr>
        <cdr:cNvPr id="33" name="TextBox 32">
          <a:extLst xmlns:a="http://schemas.openxmlformats.org/drawingml/2006/main">
            <a:ext uri="{FF2B5EF4-FFF2-40B4-BE49-F238E27FC236}">
              <a16:creationId xmlns:a16="http://schemas.microsoft.com/office/drawing/2014/main" id="{DAAD3EB6-7A51-9E52-9A48-71BB1C559164}"/>
            </a:ext>
          </a:extLst>
        </cdr:cNvPr>
        <cdr:cNvSpPr txBox="1"/>
      </cdr:nvSpPr>
      <cdr:spPr>
        <a:xfrm xmlns:a="http://schemas.openxmlformats.org/drawingml/2006/main">
          <a:off x="2431010" y="796117"/>
          <a:ext cx="1265259" cy="341194"/>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r"/>
          <a:r>
            <a:rPr lang="en-IN" sz="1100" kern="1200">
              <a:solidFill>
                <a:schemeClr val="accent6">
                  <a:lumMod val="75000"/>
                </a:schemeClr>
              </a:solidFill>
              <a:latin typeface="Times New Roman" panose="02020603050405020304" pitchFamily="18" charset="0"/>
              <a:ea typeface="+mn-ea"/>
              <a:cs typeface="Times New Roman" panose="02020603050405020304" pitchFamily="18" charset="0"/>
            </a:rPr>
            <a:t>PROFESSIONAL</a:t>
          </a:r>
        </a:p>
      </cdr:txBody>
    </cdr:sp>
  </cdr:relSizeAnchor>
  <cdr:relSizeAnchor xmlns:cdr="http://schemas.openxmlformats.org/drawingml/2006/chartDrawing">
    <cdr:from>
      <cdr:x>0.72414</cdr:x>
      <cdr:y>0.55747</cdr:y>
    </cdr:from>
    <cdr:to>
      <cdr:x>1</cdr:x>
      <cdr:y>0.68965</cdr:y>
    </cdr:to>
    <cdr:sp macro="" textlink="">
      <cdr:nvSpPr>
        <cdr:cNvPr id="34" name="TextBox 33">
          <a:extLst xmlns:a="http://schemas.openxmlformats.org/drawingml/2006/main">
            <a:ext uri="{FF2B5EF4-FFF2-40B4-BE49-F238E27FC236}">
              <a16:creationId xmlns:a16="http://schemas.microsoft.com/office/drawing/2014/main" id="{29B420DB-9EDF-93D7-8A03-875C46B9D0FA}"/>
            </a:ext>
          </a:extLst>
        </cdr:cNvPr>
        <cdr:cNvSpPr txBox="1"/>
      </cdr:nvSpPr>
      <cdr:spPr>
        <a:xfrm xmlns:a="http://schemas.openxmlformats.org/drawingml/2006/main">
          <a:off x="2686903" y="1378991"/>
          <a:ext cx="1023582" cy="326978"/>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IN" sz="1100" kern="1200">
              <a:solidFill>
                <a:schemeClr val="accent6">
                  <a:lumMod val="75000"/>
                </a:schemeClr>
              </a:solidFill>
              <a:latin typeface="Times New Roman" panose="02020603050405020304" pitchFamily="18" charset="0"/>
              <a:ea typeface="+mn-ea"/>
              <a:cs typeface="Times New Roman" panose="02020603050405020304" pitchFamily="18" charset="0"/>
            </a:rPr>
            <a:t>TRAINEES</a:t>
          </a:r>
        </a:p>
        <a:p xmlns:a="http://schemas.openxmlformats.org/drawingml/2006/main">
          <a:endParaRPr lang="en-IN" sz="1100" kern="1200"/>
        </a:p>
      </cdr:txBody>
    </cdr:sp>
  </cdr:relSizeAnchor>
  <cdr:relSizeAnchor xmlns:cdr="http://schemas.openxmlformats.org/drawingml/2006/chartDrawing">
    <cdr:from>
      <cdr:x>0.74713</cdr:x>
      <cdr:y>0.77011</cdr:y>
    </cdr:from>
    <cdr:to>
      <cdr:x>1</cdr:x>
      <cdr:y>0.85632</cdr:y>
    </cdr:to>
    <cdr:sp macro="" textlink="">
      <cdr:nvSpPr>
        <cdr:cNvPr id="35" name="TextBox 34">
          <a:extLst xmlns:a="http://schemas.openxmlformats.org/drawingml/2006/main">
            <a:ext uri="{FF2B5EF4-FFF2-40B4-BE49-F238E27FC236}">
              <a16:creationId xmlns:a16="http://schemas.microsoft.com/office/drawing/2014/main" id="{7491F57F-CA7C-EA33-B506-39F3EEB4EFEC}"/>
            </a:ext>
          </a:extLst>
        </cdr:cNvPr>
        <cdr:cNvSpPr txBox="1"/>
      </cdr:nvSpPr>
      <cdr:spPr>
        <a:xfrm xmlns:a="http://schemas.openxmlformats.org/drawingml/2006/main">
          <a:off x="2772201" y="1904999"/>
          <a:ext cx="938284" cy="213246"/>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IN" sz="1100" kern="1200">
              <a:solidFill>
                <a:schemeClr val="accent6">
                  <a:lumMod val="75000"/>
                </a:schemeClr>
              </a:solidFill>
              <a:latin typeface="Times New Roman" panose="02020603050405020304" pitchFamily="18" charset="0"/>
              <a:ea typeface="+mn-ea"/>
              <a:cs typeface="Times New Roman" panose="02020603050405020304" pitchFamily="18" charset="0"/>
            </a:rPr>
            <a:t>CONTRACT</a:t>
          </a:r>
        </a:p>
      </cdr:txBody>
    </cdr:sp>
  </cdr:relSizeAnchor>
  <cdr:relSizeAnchor xmlns:cdr="http://schemas.openxmlformats.org/drawingml/2006/chartDrawing">
    <cdr:from>
      <cdr:x>0.75096</cdr:x>
      <cdr:y>0.21264</cdr:y>
    </cdr:from>
    <cdr:to>
      <cdr:x>0.95402</cdr:x>
      <cdr:y>0.35057</cdr:y>
    </cdr:to>
    <cdr:sp macro="" textlink="Pivot!$N$18">
      <cdr:nvSpPr>
        <cdr:cNvPr id="36" name="TextBox 35">
          <a:extLst xmlns:a="http://schemas.openxmlformats.org/drawingml/2006/main">
            <a:ext uri="{FF2B5EF4-FFF2-40B4-BE49-F238E27FC236}">
              <a16:creationId xmlns:a16="http://schemas.microsoft.com/office/drawing/2014/main" id="{DDA62903-68F2-1DF5-16AC-DC54E0895418}"/>
            </a:ext>
          </a:extLst>
        </cdr:cNvPr>
        <cdr:cNvSpPr txBox="1"/>
      </cdr:nvSpPr>
      <cdr:spPr>
        <a:xfrm xmlns:a="http://schemas.openxmlformats.org/drawingml/2006/main">
          <a:off x="2786419" y="526006"/>
          <a:ext cx="753470" cy="341194"/>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marL="0" indent="0" algn="ctr"/>
          <a:fld id="{B23693AF-F402-4A07-B274-C16845B7B2D8}" type="TxLink">
            <a:rPr lang="en-US" sz="1600" b="0" i="0" u="none" strike="noStrike" kern="1200">
              <a:solidFill>
                <a:schemeClr val="tx2">
                  <a:lumMod val="50000"/>
                  <a:lumOff val="50000"/>
                </a:schemeClr>
              </a:solidFill>
              <a:latin typeface="Aptos Narrow"/>
              <a:ea typeface="+mn-ea"/>
              <a:cs typeface="+mn-cs"/>
            </a:rPr>
            <a:pPr marL="0" indent="0" algn="ctr"/>
            <a:t>21</a:t>
          </a:fld>
          <a:endParaRPr lang="en-IN" sz="1600" b="0" i="0" u="none" strike="noStrike" kern="1200">
            <a:solidFill>
              <a:schemeClr val="tx2">
                <a:lumMod val="50000"/>
                <a:lumOff val="50000"/>
              </a:schemeClr>
            </a:solidFill>
            <a:latin typeface="Aptos Narrow"/>
            <a:ea typeface="+mn-ea"/>
            <a:cs typeface="+mn-cs"/>
          </a:endParaRPr>
        </a:p>
      </cdr:txBody>
    </cdr:sp>
  </cdr:relSizeAnchor>
  <cdr:relSizeAnchor xmlns:cdr="http://schemas.openxmlformats.org/drawingml/2006/chartDrawing">
    <cdr:from>
      <cdr:x>0.76628</cdr:x>
      <cdr:y>0.45402</cdr:y>
    </cdr:from>
    <cdr:to>
      <cdr:x>0.94253</cdr:x>
      <cdr:y>0.54598</cdr:y>
    </cdr:to>
    <cdr:sp macro="" textlink="Pivot!$N$17">
      <cdr:nvSpPr>
        <cdr:cNvPr id="37" name="TextBox 36">
          <a:extLst xmlns:a="http://schemas.openxmlformats.org/drawingml/2006/main">
            <a:ext uri="{FF2B5EF4-FFF2-40B4-BE49-F238E27FC236}">
              <a16:creationId xmlns:a16="http://schemas.microsoft.com/office/drawing/2014/main" id="{59F2F954-1161-FB42-8030-8EF2910D0603}"/>
            </a:ext>
          </a:extLst>
        </cdr:cNvPr>
        <cdr:cNvSpPr txBox="1"/>
      </cdr:nvSpPr>
      <cdr:spPr>
        <a:xfrm xmlns:a="http://schemas.openxmlformats.org/drawingml/2006/main">
          <a:off x="2843284" y="1123095"/>
          <a:ext cx="653955" cy="227463"/>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marL="0" indent="0" algn="ctr"/>
          <a:fld id="{556FFE63-2289-46EE-A2DC-2D67D65667D3}" type="TxLink">
            <a:rPr lang="en-US" sz="1600" b="0" i="0" u="none" strike="noStrike" kern="1200">
              <a:solidFill>
                <a:schemeClr val="accent5">
                  <a:lumMod val="60000"/>
                  <a:lumOff val="40000"/>
                </a:schemeClr>
              </a:solidFill>
              <a:latin typeface="Aptos Narrow"/>
              <a:ea typeface="+mn-ea"/>
              <a:cs typeface="+mn-cs"/>
            </a:rPr>
            <a:pPr marL="0" indent="0" algn="ctr"/>
            <a:t>43</a:t>
          </a:fld>
          <a:endParaRPr lang="en-IN" sz="1600" b="0" i="0" u="none" strike="noStrike" kern="1200">
            <a:solidFill>
              <a:schemeClr val="accent5">
                <a:lumMod val="60000"/>
                <a:lumOff val="40000"/>
              </a:schemeClr>
            </a:solidFill>
            <a:latin typeface="Aptos Narrow"/>
            <a:ea typeface="+mn-ea"/>
            <a:cs typeface="+mn-cs"/>
          </a:endParaRPr>
        </a:p>
      </cdr:txBody>
    </cdr:sp>
  </cdr:relSizeAnchor>
  <cdr:relSizeAnchor xmlns:cdr="http://schemas.openxmlformats.org/drawingml/2006/chartDrawing">
    <cdr:from>
      <cdr:x>0.74713</cdr:x>
      <cdr:y>0.68391</cdr:y>
    </cdr:from>
    <cdr:to>
      <cdr:x>0.95785</cdr:x>
      <cdr:y>0.77586</cdr:y>
    </cdr:to>
    <cdr:sp macro="" textlink="Pivot!$N$16">
      <cdr:nvSpPr>
        <cdr:cNvPr id="38" name="TextBox 37">
          <a:extLst xmlns:a="http://schemas.openxmlformats.org/drawingml/2006/main">
            <a:ext uri="{FF2B5EF4-FFF2-40B4-BE49-F238E27FC236}">
              <a16:creationId xmlns:a16="http://schemas.microsoft.com/office/drawing/2014/main" id="{EF85B9D0-E71B-4EB2-F523-1C3AEB84C579}"/>
            </a:ext>
          </a:extLst>
        </cdr:cNvPr>
        <cdr:cNvSpPr txBox="1"/>
      </cdr:nvSpPr>
      <cdr:spPr>
        <a:xfrm xmlns:a="http://schemas.openxmlformats.org/drawingml/2006/main">
          <a:off x="2772202" y="1691752"/>
          <a:ext cx="781903" cy="227463"/>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marL="0" indent="0" algn="ctr"/>
          <a:fld id="{7688732D-554A-4F3B-B827-3C420F5CBB66}" type="TxLink">
            <a:rPr lang="en-US" sz="1600" b="0" i="0" u="none" strike="noStrike" kern="1200">
              <a:solidFill>
                <a:schemeClr val="accent3">
                  <a:lumMod val="60000"/>
                  <a:lumOff val="40000"/>
                </a:schemeClr>
              </a:solidFill>
              <a:latin typeface="Aptos Narrow"/>
              <a:ea typeface="+mn-ea"/>
              <a:cs typeface="+mn-cs"/>
            </a:rPr>
            <a:pPr marL="0" indent="0" algn="ctr"/>
            <a:t>41</a:t>
          </a:fld>
          <a:endParaRPr lang="en-IN" sz="1600" b="0" i="0" u="none" strike="noStrike" kern="1200">
            <a:solidFill>
              <a:schemeClr val="accent3">
                <a:lumMod val="60000"/>
                <a:lumOff val="40000"/>
              </a:schemeClr>
            </a:solidFill>
            <a:latin typeface="Aptos Narrow"/>
            <a:ea typeface="+mn-ea"/>
            <a:cs typeface="+mn-cs"/>
          </a:endParaRPr>
        </a:p>
      </cdr:txBody>
    </cdr:sp>
  </cdr:relSizeAnchor>
  <cdr:relSizeAnchor xmlns:cdr="http://schemas.openxmlformats.org/drawingml/2006/chartDrawing">
    <cdr:from>
      <cdr:x>0.73946</cdr:x>
      <cdr:y>0.86207</cdr:y>
    </cdr:from>
    <cdr:to>
      <cdr:x>0.99234</cdr:x>
      <cdr:y>0.98851</cdr:y>
    </cdr:to>
    <cdr:sp macro="" textlink="">
      <cdr:nvSpPr>
        <cdr:cNvPr id="39" name="TextBox 38">
          <a:extLst xmlns:a="http://schemas.openxmlformats.org/drawingml/2006/main">
            <a:ext uri="{FF2B5EF4-FFF2-40B4-BE49-F238E27FC236}">
              <a16:creationId xmlns:a16="http://schemas.microsoft.com/office/drawing/2014/main" id="{9BFF3FE6-439D-6B2D-25F1-5636184D10C8}"/>
            </a:ext>
          </a:extLst>
        </cdr:cNvPr>
        <cdr:cNvSpPr txBox="1"/>
      </cdr:nvSpPr>
      <cdr:spPr>
        <a:xfrm xmlns:a="http://schemas.openxmlformats.org/drawingml/2006/main">
          <a:off x="2743769" y="2132462"/>
          <a:ext cx="938283" cy="3127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0.75862</cdr:x>
      <cdr:y>0.87931</cdr:y>
    </cdr:from>
    <cdr:to>
      <cdr:x>0.96169</cdr:x>
      <cdr:y>0.97701</cdr:y>
    </cdr:to>
    <cdr:sp macro="" textlink="Pivot!$N$15">
      <cdr:nvSpPr>
        <cdr:cNvPr id="40" name="TextBox 39">
          <a:extLst xmlns:a="http://schemas.openxmlformats.org/drawingml/2006/main">
            <a:ext uri="{FF2B5EF4-FFF2-40B4-BE49-F238E27FC236}">
              <a16:creationId xmlns:a16="http://schemas.microsoft.com/office/drawing/2014/main" id="{F5F0E52C-6BDB-9FA8-69E4-5EE78E187A88}"/>
            </a:ext>
          </a:extLst>
        </cdr:cNvPr>
        <cdr:cNvSpPr txBox="1"/>
      </cdr:nvSpPr>
      <cdr:spPr>
        <a:xfrm xmlns:a="http://schemas.openxmlformats.org/drawingml/2006/main">
          <a:off x="2814851" y="2175111"/>
          <a:ext cx="753470" cy="24167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marL="0" indent="0" algn="ctr"/>
          <a:fld id="{AEDE9ECB-8834-455B-82CE-98E04A59E818}" type="TxLink">
            <a:rPr lang="en-US" sz="1600" b="0" i="0" u="none" strike="noStrike" kern="1200">
              <a:solidFill>
                <a:srgbClr val="002060"/>
              </a:solidFill>
              <a:latin typeface="Aptos Narrow"/>
              <a:ea typeface="+mn-ea"/>
              <a:cs typeface="+mn-cs"/>
            </a:rPr>
            <a:pPr marL="0" indent="0" algn="ctr"/>
            <a:t>13</a:t>
          </a:fld>
          <a:endParaRPr lang="en-IN" sz="1600" b="0" i="0" u="none" strike="noStrike" kern="1200">
            <a:solidFill>
              <a:srgbClr val="002060"/>
            </a:solidFill>
            <a:latin typeface="Aptos Narrow"/>
            <a:ea typeface="+mn-ea"/>
            <a:cs typeface="+mn-cs"/>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0.53833</cdr:x>
      <cdr:y>0.21848</cdr:y>
    </cdr:from>
    <cdr:to>
      <cdr:x>0.73853</cdr:x>
      <cdr:y>0.47022</cdr:y>
    </cdr:to>
    <cdr:pic>
      <cdr:nvPicPr>
        <cdr:cNvPr id="3" name="Graphic 2" descr="Male profile with solid fill">
          <a:extLst xmlns:a="http://schemas.openxmlformats.org/drawingml/2006/main">
            <a:ext uri="{FF2B5EF4-FFF2-40B4-BE49-F238E27FC236}">
              <a16:creationId xmlns:a16="http://schemas.microsoft.com/office/drawing/2014/main" id="{48AD30B2-1F09-39A7-2FA7-6ACAD922525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530635" y="531115"/>
          <a:ext cx="569221" cy="612000"/>
        </a:xfrm>
        <a:prstGeom xmlns:a="http://schemas.openxmlformats.org/drawingml/2006/main" prst="rect">
          <a:avLst/>
        </a:prstGeom>
      </cdr:spPr>
    </cdr:pic>
  </cdr:relSizeAnchor>
  <cdr:relSizeAnchor xmlns:cdr="http://schemas.openxmlformats.org/drawingml/2006/chartDrawing">
    <cdr:from>
      <cdr:x>0.5313</cdr:x>
      <cdr:y>0.56963</cdr:y>
    </cdr:from>
    <cdr:to>
      <cdr:x>0.7315</cdr:x>
      <cdr:y>0.82138</cdr:y>
    </cdr:to>
    <cdr:pic>
      <cdr:nvPicPr>
        <cdr:cNvPr id="4" name="Graphic 1" descr="Male profile with solid fill">
          <a:extLst xmlns:a="http://schemas.openxmlformats.org/drawingml/2006/main">
            <a:ext uri="{FF2B5EF4-FFF2-40B4-BE49-F238E27FC236}">
              <a16:creationId xmlns:a16="http://schemas.microsoft.com/office/drawing/2014/main" id="{D54FC338-EBEB-B25E-2F53-04C7D0710D4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1510642" y="1384785"/>
          <a:ext cx="569222" cy="612000"/>
        </a:xfrm>
        <a:prstGeom xmlns:a="http://schemas.openxmlformats.org/drawingml/2006/main" prst="rect">
          <a:avLst/>
        </a:prstGeom>
      </cdr:spPr>
    </cdr:pic>
  </cdr:relSizeAnchor>
  <cdr:relSizeAnchor xmlns:cdr="http://schemas.openxmlformats.org/drawingml/2006/chartDrawing">
    <cdr:from>
      <cdr:x>0.47403</cdr:x>
      <cdr:y>0.47953</cdr:y>
    </cdr:from>
    <cdr:to>
      <cdr:x>0.985</cdr:x>
      <cdr:y>0.57059</cdr:y>
    </cdr:to>
    <cdr:sp macro="" textlink="">
      <cdr:nvSpPr>
        <cdr:cNvPr id="5" name="TextBox 4">
          <a:extLst xmlns:a="http://schemas.openxmlformats.org/drawingml/2006/main">
            <a:ext uri="{FF2B5EF4-FFF2-40B4-BE49-F238E27FC236}">
              <a16:creationId xmlns:a16="http://schemas.microsoft.com/office/drawing/2014/main" id="{7279452E-172F-0F40-AFA8-345E0F0492DF}"/>
            </a:ext>
          </a:extLst>
        </cdr:cNvPr>
        <cdr:cNvSpPr txBox="1"/>
      </cdr:nvSpPr>
      <cdr:spPr>
        <a:xfrm xmlns:a="http://schemas.openxmlformats.org/drawingml/2006/main">
          <a:off x="1037798" y="1158924"/>
          <a:ext cx="1118690" cy="22006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kern="1200">
              <a:latin typeface="Times New Roman" panose="02020603050405020304" pitchFamily="18" charset="0"/>
              <a:cs typeface="Times New Roman" panose="02020603050405020304" pitchFamily="18" charset="0"/>
            </a:rPr>
            <a:t>PERMANANT</a:t>
          </a:r>
        </a:p>
        <a:p xmlns:a="http://schemas.openxmlformats.org/drawingml/2006/main">
          <a:endParaRPr lang="en-IN" sz="1100" kern="1200">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0.49351</cdr:x>
      <cdr:y>0.7907</cdr:y>
    </cdr:from>
    <cdr:to>
      <cdr:x>0.98</cdr:x>
      <cdr:y>0.89412</cdr:y>
    </cdr:to>
    <cdr:sp macro="" textlink="">
      <cdr:nvSpPr>
        <cdr:cNvPr id="7" name="TextBox 1">
          <a:extLst xmlns:a="http://schemas.openxmlformats.org/drawingml/2006/main">
            <a:ext uri="{FF2B5EF4-FFF2-40B4-BE49-F238E27FC236}">
              <a16:creationId xmlns:a16="http://schemas.microsoft.com/office/drawing/2014/main" id="{CD49DF1F-209E-BDAE-03D2-F5F06A8DB9A1}"/>
            </a:ext>
          </a:extLst>
        </cdr:cNvPr>
        <cdr:cNvSpPr txBox="1"/>
      </cdr:nvSpPr>
      <cdr:spPr>
        <a:xfrm xmlns:a="http://schemas.openxmlformats.org/drawingml/2006/main">
          <a:off x="1080448" y="1910958"/>
          <a:ext cx="1065094" cy="24993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100" kern="1200">
              <a:latin typeface="Times New Roman" panose="02020603050405020304" pitchFamily="18" charset="0"/>
              <a:cs typeface="Times New Roman" panose="02020603050405020304" pitchFamily="18" charset="0"/>
            </a:rPr>
            <a:t>CONTRACT</a:t>
          </a:r>
        </a:p>
        <a:p xmlns:a="http://schemas.openxmlformats.org/drawingml/2006/main">
          <a:endParaRPr lang="en-IN" sz="1100" kern="1200">
            <a:latin typeface="Times New Roman" panose="02020603050405020304" pitchFamily="18" charset="0"/>
            <a:cs typeface="Times New Roman" panose="02020603050405020304" pitchFamily="18" charset="0"/>
          </a:endParaRPr>
        </a:p>
        <a:p xmlns:a="http://schemas.openxmlformats.org/drawingml/2006/main">
          <a:endParaRPr lang="en-IN" sz="1100" kern="1200">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0.01787</cdr:x>
      <cdr:y>0.0209</cdr:y>
    </cdr:from>
    <cdr:to>
      <cdr:x>0.28591</cdr:x>
      <cdr:y>0.16447</cdr:y>
    </cdr:to>
    <cdr:sp macro="" textlink="">
      <cdr:nvSpPr>
        <cdr:cNvPr id="9" name="TextBox 1">
          <a:extLst xmlns:a="http://schemas.openxmlformats.org/drawingml/2006/main">
            <a:ext uri="{FF2B5EF4-FFF2-40B4-BE49-F238E27FC236}">
              <a16:creationId xmlns:a16="http://schemas.microsoft.com/office/drawing/2014/main" id="{81D57C51-D5E2-D247-FD97-64E3AF6E4687}"/>
            </a:ext>
          </a:extLst>
        </cdr:cNvPr>
        <cdr:cNvSpPr txBox="1"/>
      </cdr:nvSpPr>
      <cdr:spPr>
        <a:xfrm xmlns:a="http://schemas.openxmlformats.org/drawingml/2006/main">
          <a:off x="50800" y="50800"/>
          <a:ext cx="762131" cy="349037"/>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endParaRPr lang="en-IN" sz="1600" b="0" i="0" u="none" strike="noStrike" kern="1200">
            <a:solidFill>
              <a:schemeClr val="tx2">
                <a:lumMod val="50000"/>
                <a:lumOff val="50000"/>
              </a:schemeClr>
            </a:solidFill>
            <a:latin typeface="Aptos Narrow"/>
            <a:ea typeface="+mn-ea"/>
            <a:cs typeface="+mn-cs"/>
          </a:endParaRPr>
        </a:p>
      </cdr:txBody>
    </cdr:sp>
  </cdr:relSizeAnchor>
  <cdr:relSizeAnchor xmlns:cdr="http://schemas.openxmlformats.org/drawingml/2006/chartDrawing">
    <cdr:from>
      <cdr:x>0.74</cdr:x>
      <cdr:y>0.27907</cdr:y>
    </cdr:from>
    <cdr:to>
      <cdr:x>0.92</cdr:x>
      <cdr:y>0.44186</cdr:y>
    </cdr:to>
    <cdr:sp macro="" textlink="">
      <cdr:nvSpPr>
        <cdr:cNvPr id="10" name="TextBox 9">
          <a:extLst xmlns:a="http://schemas.openxmlformats.org/drawingml/2006/main">
            <a:ext uri="{FF2B5EF4-FFF2-40B4-BE49-F238E27FC236}">
              <a16:creationId xmlns:a16="http://schemas.microsoft.com/office/drawing/2014/main" id="{9D1757A3-97BD-2A55-1F1A-71EA1A85F3A4}"/>
            </a:ext>
          </a:extLst>
        </cdr:cNvPr>
        <cdr:cNvSpPr txBox="1"/>
      </cdr:nvSpPr>
      <cdr:spPr>
        <a:xfrm xmlns:a="http://schemas.openxmlformats.org/drawingml/2006/main">
          <a:off x="2104028" y="682388"/>
          <a:ext cx="511791" cy="3980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0.68713</cdr:x>
      <cdr:y>0.27326</cdr:y>
    </cdr:from>
    <cdr:to>
      <cdr:x>0.9575</cdr:x>
      <cdr:y>0.43213</cdr:y>
    </cdr:to>
    <cdr:sp macro="" textlink="Pivot!$Y$16">
      <cdr:nvSpPr>
        <cdr:cNvPr id="11" name="TextBox 10">
          <a:extLst xmlns:a="http://schemas.openxmlformats.org/drawingml/2006/main">
            <a:ext uri="{FF2B5EF4-FFF2-40B4-BE49-F238E27FC236}">
              <a16:creationId xmlns:a16="http://schemas.microsoft.com/office/drawing/2014/main" id="{A1877F6B-DE25-0836-6F66-27A417308214}"/>
            </a:ext>
          </a:extLst>
        </cdr:cNvPr>
        <cdr:cNvSpPr txBox="1"/>
      </cdr:nvSpPr>
      <cdr:spPr>
        <a:xfrm xmlns:a="http://schemas.openxmlformats.org/drawingml/2006/main">
          <a:off x="1500827" y="680613"/>
          <a:ext cx="590550" cy="39571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D9EF2D33-64EF-4C03-BBCE-8205A2FB5EF8}" type="TxLink">
            <a:rPr lang="en-US" sz="1800" b="0" i="0" u="none" strike="noStrike" kern="1200">
              <a:solidFill>
                <a:schemeClr val="accent4">
                  <a:lumMod val="75000"/>
                </a:schemeClr>
              </a:solidFill>
              <a:latin typeface="Aptos Narrow"/>
            </a:rPr>
            <a:pPr/>
            <a:t>105</a:t>
          </a:fld>
          <a:endParaRPr lang="en-IN" sz="1800" kern="1200">
            <a:solidFill>
              <a:schemeClr val="accent4">
                <a:lumMod val="75000"/>
              </a:schemeClr>
            </a:solidFill>
          </a:endParaRPr>
        </a:p>
      </cdr:txBody>
    </cdr:sp>
  </cdr:relSizeAnchor>
  <cdr:relSizeAnchor xmlns:cdr="http://schemas.openxmlformats.org/drawingml/2006/chartDrawing">
    <cdr:from>
      <cdr:x>0.7351</cdr:x>
      <cdr:y>0.62209</cdr:y>
    </cdr:from>
    <cdr:to>
      <cdr:x>0.945</cdr:x>
      <cdr:y>0.79651</cdr:y>
    </cdr:to>
    <cdr:sp macro="" textlink="Pivot!$Y$15">
      <cdr:nvSpPr>
        <cdr:cNvPr id="12" name="TextBox 11">
          <a:extLst xmlns:a="http://schemas.openxmlformats.org/drawingml/2006/main">
            <a:ext uri="{FF2B5EF4-FFF2-40B4-BE49-F238E27FC236}">
              <a16:creationId xmlns:a16="http://schemas.microsoft.com/office/drawing/2014/main" id="{AB7A2779-0DE9-FFC0-866A-0156F251F5C4}"/>
            </a:ext>
          </a:extLst>
        </cdr:cNvPr>
        <cdr:cNvSpPr txBox="1"/>
      </cdr:nvSpPr>
      <cdr:spPr>
        <a:xfrm xmlns:a="http://schemas.openxmlformats.org/drawingml/2006/main">
          <a:off x="1605602" y="1549450"/>
          <a:ext cx="458476" cy="43443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AE424C1-D267-4D03-860E-C198493FAE6D}" type="TxLink">
            <a:rPr lang="en-US" sz="1800" b="0" i="0" u="none" strike="noStrike" kern="1200">
              <a:solidFill>
                <a:schemeClr val="accent5">
                  <a:lumMod val="75000"/>
                </a:schemeClr>
              </a:solidFill>
              <a:latin typeface="Aptos Narrow"/>
            </a:rPr>
            <a:pPr/>
            <a:t>13</a:t>
          </a:fld>
          <a:endParaRPr lang="en-IN" sz="1800" kern="1200">
            <a:solidFill>
              <a:schemeClr val="accent5">
                <a:lumMod val="75000"/>
              </a:schemeClr>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wmiya" refreshedDate="46151.775516435184" createdVersion="8" refreshedVersion="8" minRefreshableVersion="3" recordCount="171" xr:uid="{94892FAB-03ED-457B-A481-3C6767F57CC2}">
  <cacheSource type="worksheet">
    <worksheetSource ref="A1:P172" sheet="Data sheet"/>
  </cacheSource>
  <cacheFields count="16">
    <cacheField name="Emp Status" numFmtId="0">
      <sharedItems count="3">
        <s v="On-Board"/>
        <s v="Attrition"/>
        <s v="Transfer"/>
      </sharedItems>
    </cacheField>
    <cacheField name="Movement" numFmtId="0">
      <sharedItems containsBlank="1"/>
    </cacheField>
    <cacheField name="Emp Id" numFmtId="0">
      <sharedItems containsMixedTypes="1" containsNumber="1" containsInteger="1" minValue="100957" maxValue="198396"/>
    </cacheField>
    <cacheField name="Name" numFmtId="0">
      <sharedItems/>
    </cacheField>
    <cacheField name="Date of Joining" numFmtId="164">
      <sharedItems containsSemiMixedTypes="0" containsNonDate="0" containsDate="1" containsString="0" minDate="2020-02-06T00:00:00" maxDate="2025-07-20T00:00:00"/>
    </cacheField>
    <cacheField name="Data of Relieving" numFmtId="164">
      <sharedItems containsNonDate="0" containsDate="1" containsString="0" containsBlank="1" minDate="2020-12-18T00:00:00" maxDate="2024-09-30T00:00:00"/>
    </cacheField>
    <cacheField name="Reporting Manager" numFmtId="0">
      <sharedItems count="7">
        <s v="Ryan Simmons"/>
        <s v="Alejandra Mack"/>
        <s v="Jefferson Perry"/>
        <s v="Darryl Leon"/>
        <s v="Roberta Moyer"/>
        <s v="Janelle Wiley"/>
        <s v="Geneva Hardy"/>
      </sharedItems>
    </cacheField>
    <cacheField name="Emp Type" numFmtId="0">
      <sharedItems count="2">
        <s v="Contract"/>
        <s v="Permanent"/>
      </sharedItems>
    </cacheField>
    <cacheField name="Category" numFmtId="0">
      <sharedItems count="2">
        <s v="Male"/>
        <s v="Female"/>
      </sharedItems>
    </cacheField>
    <cacheField name="Date of Birth" numFmtId="165">
      <sharedItems containsSemiMixedTypes="0" containsNonDate="0" containsDate="1" containsString="0" minDate="1982-01-03T00:00:00" maxDate="2023-08-07T00:00:00"/>
    </cacheField>
    <cacheField name="Marital status" numFmtId="165">
      <sharedItems/>
    </cacheField>
    <cacheField name="Grade" numFmtId="0">
      <sharedItems count="4">
        <s v="Contract"/>
        <s v="Trainees"/>
        <s v="Professional"/>
        <s v="Management"/>
      </sharedItems>
    </cacheField>
    <cacheField name="Department" numFmtId="0">
      <sharedItems count="7">
        <s v="Marketing"/>
        <s v="Operations"/>
        <s v="Legal"/>
        <s v="Finance"/>
        <s v="HR"/>
        <s v="Sales"/>
        <s v="Accounting"/>
      </sharedItems>
    </cacheField>
    <cacheField name="Total Experience" numFmtId="0">
      <sharedItems containsSemiMixedTypes="0" containsString="0" containsNumber="1" minValue="0" maxValue="19"/>
    </cacheField>
    <cacheField name="Year" numFmtId="0">
      <sharedItems containsSemiMixedTypes="0" containsString="0" containsNumber="1" containsInteger="1" minValue="2020" maxValue="2025" count="6">
        <n v="2023"/>
        <n v="2021"/>
        <n v="2024"/>
        <n v="2020"/>
        <n v="2025"/>
        <n v="2022"/>
      </sharedItems>
    </cacheField>
    <cacheField name="Stability" numFmtId="0">
      <sharedItems count="6">
        <s v="1+ years"/>
        <s v="&lt;1 year"/>
        <s v="2+ years"/>
        <s v="3+ years"/>
        <s v="4+ years"/>
        <s v="5+ years"/>
      </sharedItems>
    </cacheField>
  </cacheFields>
  <extLst>
    <ext xmlns:x14="http://schemas.microsoft.com/office/spreadsheetml/2009/9/main" uri="{725AE2AE-9491-48be-B2B4-4EB974FC3084}">
      <x14:pivotCacheDefinition pivotCacheId="15735500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
  <r>
    <x v="0"/>
    <m/>
    <s v="CT16735"/>
    <s v="Alfredo Mcclain"/>
    <d v="2025-04-28T00:00:00"/>
    <m/>
    <x v="0"/>
    <x v="0"/>
    <x v="0"/>
    <d v="2021-12-06T00:00:00"/>
    <s v="Married"/>
    <x v="0"/>
    <x v="0"/>
    <n v="8"/>
    <x v="0"/>
    <x v="0"/>
  </r>
  <r>
    <x v="0"/>
    <m/>
    <n v="137966"/>
    <s v="Joshua Gupta"/>
    <d v="2025-07-14T00:00:00"/>
    <m/>
    <x v="0"/>
    <x v="1"/>
    <x v="0"/>
    <d v="2021-11-07T00:00:00"/>
    <s v="Married"/>
    <x v="1"/>
    <x v="1"/>
    <n v="9"/>
    <x v="1"/>
    <x v="1"/>
  </r>
  <r>
    <x v="0"/>
    <m/>
    <n v="146341"/>
    <s v="Dave Armstrong"/>
    <d v="2025-07-19T00:00:00"/>
    <m/>
    <x v="0"/>
    <x v="1"/>
    <x v="1"/>
    <d v="2021-01-24T00:00:00"/>
    <s v="Married"/>
    <x v="1"/>
    <x v="1"/>
    <n v="13"/>
    <x v="1"/>
    <x v="1"/>
  </r>
  <r>
    <x v="0"/>
    <m/>
    <s v="CT14537"/>
    <s v="Fletcher Tate"/>
    <d v="2024-06-01T00:00:00"/>
    <m/>
    <x v="1"/>
    <x v="0"/>
    <x v="1"/>
    <d v="2022-12-03T00:00:00"/>
    <s v="Married"/>
    <x v="0"/>
    <x v="2"/>
    <n v="4"/>
    <x v="2"/>
    <x v="0"/>
  </r>
  <r>
    <x v="0"/>
    <m/>
    <s v="CT14690"/>
    <s v="Emily Davis"/>
    <d v="2025-01-05T00:00:00"/>
    <m/>
    <x v="2"/>
    <x v="0"/>
    <x v="1"/>
    <d v="2021-05-22T00:00:00"/>
    <s v="Married"/>
    <x v="0"/>
    <x v="3"/>
    <n v="4.8"/>
    <x v="2"/>
    <x v="0"/>
  </r>
  <r>
    <x v="0"/>
    <m/>
    <s v="CT16195"/>
    <s v="Penelope Jordan"/>
    <d v="2025-01-14T00:00:00"/>
    <m/>
    <x v="2"/>
    <x v="0"/>
    <x v="0"/>
    <d v="2021-02-09T00:00:00"/>
    <s v="Single"/>
    <x v="0"/>
    <x v="1"/>
    <n v="9"/>
    <x v="0"/>
    <x v="0"/>
  </r>
  <r>
    <x v="0"/>
    <m/>
    <n v="158773"/>
    <s v="Grover Kramer"/>
    <d v="2024-05-15T00:00:00"/>
    <m/>
    <x v="3"/>
    <x v="1"/>
    <x v="0"/>
    <d v="2023-05-27T00:00:00"/>
    <s v="Single"/>
    <x v="2"/>
    <x v="0"/>
    <n v="3"/>
    <x v="3"/>
    <x v="0"/>
  </r>
  <r>
    <x v="0"/>
    <m/>
    <n v="109333"/>
    <s v="Milan Pope"/>
    <d v="2024-05-22T00:00:00"/>
    <m/>
    <x v="0"/>
    <x v="1"/>
    <x v="0"/>
    <d v="2023-08-04T00:00:00"/>
    <s v="Married"/>
    <x v="1"/>
    <x v="2"/>
    <n v="10"/>
    <x v="3"/>
    <x v="0"/>
  </r>
  <r>
    <x v="0"/>
    <m/>
    <n v="165233"/>
    <s v="Randal Mata"/>
    <d v="2024-06-12T00:00:00"/>
    <m/>
    <x v="0"/>
    <x v="1"/>
    <x v="0"/>
    <d v="2023-04-06T00:00:00"/>
    <s v="Single"/>
    <x v="2"/>
    <x v="0"/>
    <n v="1.2"/>
    <x v="3"/>
    <x v="0"/>
  </r>
  <r>
    <x v="0"/>
    <s v="OnRoll"/>
    <n v="103360"/>
    <s v="Pete Arroyo"/>
    <d v="2024-10-04T00:00:00"/>
    <m/>
    <x v="0"/>
    <x v="1"/>
    <x v="1"/>
    <d v="2001-04-01T00:00:00"/>
    <s v="Single"/>
    <x v="2"/>
    <x v="4"/>
    <n v="0.11"/>
    <x v="3"/>
    <x v="0"/>
  </r>
  <r>
    <x v="0"/>
    <m/>
    <n v="168841"/>
    <s v="Jefferson Perry"/>
    <d v="2024-10-04T00:00:00"/>
    <m/>
    <x v="0"/>
    <x v="1"/>
    <x v="0"/>
    <d v="1982-01-03T00:00:00"/>
    <s v="Married"/>
    <x v="3"/>
    <x v="5"/>
    <n v="19"/>
    <x v="1"/>
    <x v="0"/>
  </r>
  <r>
    <x v="1"/>
    <m/>
    <n v="123680"/>
    <s v="Luna Sanders"/>
    <d v="2025-01-01T00:00:00"/>
    <m/>
    <x v="2"/>
    <x v="1"/>
    <x v="1"/>
    <d v="2021-01-15T00:00:00"/>
    <s v="Single"/>
    <x v="2"/>
    <x v="1"/>
    <n v="0"/>
    <x v="1"/>
    <x v="0"/>
  </r>
  <r>
    <x v="0"/>
    <m/>
    <n v="136555"/>
    <s v="Santos Mooney"/>
    <d v="2025-01-05T00:00:00"/>
    <m/>
    <x v="2"/>
    <x v="1"/>
    <x v="0"/>
    <d v="2021-10-03T00:00:00"/>
    <s v="Married"/>
    <x v="3"/>
    <x v="6"/>
    <n v="5"/>
    <x v="1"/>
    <x v="0"/>
  </r>
  <r>
    <x v="0"/>
    <m/>
    <n v="109886"/>
    <s v="Theodore Dinh"/>
    <d v="2025-01-07T00:00:00"/>
    <m/>
    <x v="2"/>
    <x v="1"/>
    <x v="1"/>
    <d v="2021-12-10T00:00:00"/>
    <s v="Married"/>
    <x v="3"/>
    <x v="1"/>
    <n v="14"/>
    <x v="1"/>
    <x v="0"/>
  </r>
  <r>
    <x v="0"/>
    <m/>
    <n v="135596"/>
    <s v="Austin Vo"/>
    <d v="2025-01-14T00:00:00"/>
    <m/>
    <x v="3"/>
    <x v="1"/>
    <x v="0"/>
    <d v="2021-03-14T00:00:00"/>
    <s v="Single"/>
    <x v="1"/>
    <x v="1"/>
    <n v="0"/>
    <x v="1"/>
    <x v="0"/>
  </r>
  <r>
    <x v="0"/>
    <m/>
    <n v="102045"/>
    <s v="Jermaine Benitez"/>
    <d v="2025-03-04T00:00:00"/>
    <m/>
    <x v="0"/>
    <x v="1"/>
    <x v="1"/>
    <d v="2021-01-20T00:00:00"/>
    <s v="Single"/>
    <x v="3"/>
    <x v="6"/>
    <n v="17"/>
    <x v="1"/>
    <x v="0"/>
  </r>
  <r>
    <x v="1"/>
    <m/>
    <s v="CT15252"/>
    <s v="Rosanna Bauer"/>
    <d v="2023-06-06T00:00:00"/>
    <d v="2024-05-03T00:00:00"/>
    <x v="1"/>
    <x v="0"/>
    <x v="1"/>
    <d v="2022-02-28T00:00:00"/>
    <s v="Single"/>
    <x v="0"/>
    <x v="4"/>
    <n v="0.1"/>
    <x v="4"/>
    <x v="2"/>
  </r>
  <r>
    <x v="0"/>
    <m/>
    <s v="CT13664"/>
    <s v="Marion Harmon"/>
    <d v="2023-10-19T00:00:00"/>
    <m/>
    <x v="1"/>
    <x v="0"/>
    <x v="1"/>
    <d v="2022-09-26T00:00:00"/>
    <s v="Single"/>
    <x v="0"/>
    <x v="4"/>
    <n v="0"/>
    <x v="4"/>
    <x v="2"/>
  </r>
  <r>
    <x v="0"/>
    <m/>
    <s v="CT10043"/>
    <s v="Shawn Ross"/>
    <d v="2023-12-14T00:00:00"/>
    <m/>
    <x v="1"/>
    <x v="0"/>
    <x v="1"/>
    <d v="2022-11-12T00:00:00"/>
    <s v="Single"/>
    <x v="0"/>
    <x v="2"/>
    <n v="4"/>
    <x v="0"/>
    <x v="2"/>
  </r>
  <r>
    <x v="0"/>
    <m/>
    <s v="CT16547"/>
    <s v="Houston Wilson"/>
    <d v="2024-02-06T00:00:00"/>
    <m/>
    <x v="4"/>
    <x v="0"/>
    <x v="0"/>
    <d v="2021-12-28T00:00:00"/>
    <s v="Single"/>
    <x v="0"/>
    <x v="4"/>
    <n v="0"/>
    <x v="0"/>
    <x v="2"/>
  </r>
  <r>
    <x v="0"/>
    <m/>
    <s v="CT11188"/>
    <s v="Maricela Gates"/>
    <d v="2024-03-27T00:00:00"/>
    <m/>
    <x v="1"/>
    <x v="0"/>
    <x v="0"/>
    <d v="2003-03-06T00:00:00"/>
    <s v="Married"/>
    <x v="0"/>
    <x v="0"/>
    <n v="10"/>
    <x v="0"/>
    <x v="2"/>
  </r>
  <r>
    <x v="2"/>
    <m/>
    <n v="193737"/>
    <s v="Nita Powers"/>
    <d v="2023-05-11T00:00:00"/>
    <m/>
    <x v="0"/>
    <x v="1"/>
    <x v="0"/>
    <d v="2022-10-13T00:00:00"/>
    <s v="Married"/>
    <x v="1"/>
    <x v="1"/>
    <n v="11.5"/>
    <x v="5"/>
    <x v="2"/>
  </r>
  <r>
    <x v="0"/>
    <m/>
    <n v="180698"/>
    <s v="Francesco Blanchard"/>
    <d v="2023-05-18T00:00:00"/>
    <m/>
    <x v="0"/>
    <x v="1"/>
    <x v="0"/>
    <d v="2022-03-09T00:00:00"/>
    <s v="Single"/>
    <x v="1"/>
    <x v="1"/>
    <n v="3.5"/>
    <x v="5"/>
    <x v="2"/>
  </r>
  <r>
    <x v="1"/>
    <m/>
    <n v="124433"/>
    <s v="Elias Davis"/>
    <d v="2023-06-01T00:00:00"/>
    <d v="2023-07-11T00:00:00"/>
    <x v="5"/>
    <x v="1"/>
    <x v="1"/>
    <d v="2022-11-02T00:00:00"/>
    <s v="Single"/>
    <x v="2"/>
    <x v="4"/>
    <n v="0"/>
    <x v="5"/>
    <x v="2"/>
  </r>
  <r>
    <x v="0"/>
    <s v="OnRoll"/>
    <n v="151636"/>
    <s v="Lucio Christian"/>
    <d v="2023-06-06T00:00:00"/>
    <m/>
    <x v="0"/>
    <x v="1"/>
    <x v="0"/>
    <d v="2021-02-28T00:00:00"/>
    <s v="Single"/>
    <x v="2"/>
    <x v="4"/>
    <n v="1.8"/>
    <x v="5"/>
    <x v="2"/>
  </r>
  <r>
    <x v="0"/>
    <s v="OnRoll"/>
    <n v="173529"/>
    <s v="Greg Schaefer"/>
    <d v="2023-06-06T00:00:00"/>
    <m/>
    <x v="0"/>
    <x v="1"/>
    <x v="1"/>
    <d v="2021-01-08T00:00:00"/>
    <s v="Single"/>
    <x v="2"/>
    <x v="4"/>
    <n v="1.5"/>
    <x v="3"/>
    <x v="2"/>
  </r>
  <r>
    <x v="0"/>
    <s v="OnRoll"/>
    <n v="116633"/>
    <s v="Adriana Little"/>
    <d v="2023-06-06T00:00:00"/>
    <m/>
    <x v="0"/>
    <x v="1"/>
    <x v="1"/>
    <d v="2021-01-22T00:00:00"/>
    <s v="Single"/>
    <x v="2"/>
    <x v="4"/>
    <n v="0.11"/>
    <x v="3"/>
    <x v="2"/>
  </r>
  <r>
    <x v="0"/>
    <s v="OnRoll"/>
    <n v="160990"/>
    <s v="Abdul Khan"/>
    <d v="2023-06-06T00:00:00"/>
    <m/>
    <x v="0"/>
    <x v="1"/>
    <x v="0"/>
    <d v="2022-08-31T00:00:00"/>
    <s v="Single"/>
    <x v="2"/>
    <x v="4"/>
    <n v="0"/>
    <x v="1"/>
    <x v="2"/>
  </r>
  <r>
    <x v="1"/>
    <m/>
    <n v="170513"/>
    <s v="Marissa Mckee"/>
    <d v="2023-06-08T00:00:00"/>
    <d v="2024-03-31T00:00:00"/>
    <x v="0"/>
    <x v="1"/>
    <x v="1"/>
    <d v="2022-05-31T00:00:00"/>
    <s v="Single"/>
    <x v="1"/>
    <x v="1"/>
    <n v="7"/>
    <x v="1"/>
    <x v="2"/>
  </r>
  <r>
    <x v="0"/>
    <m/>
    <n v="167822"/>
    <s v="Ashlee Ortega"/>
    <d v="2023-06-29T00:00:00"/>
    <m/>
    <x v="0"/>
    <x v="1"/>
    <x v="0"/>
    <d v="2022-07-31T00:00:00"/>
    <s v="Married"/>
    <x v="2"/>
    <x v="4"/>
    <n v="7"/>
    <x v="3"/>
    <x v="2"/>
  </r>
  <r>
    <x v="0"/>
    <m/>
    <n v="161037"/>
    <s v="Edmund Lawson"/>
    <d v="2023-07-04T00:00:00"/>
    <m/>
    <x v="0"/>
    <x v="1"/>
    <x v="1"/>
    <d v="2022-03-09T00:00:00"/>
    <s v="Single"/>
    <x v="2"/>
    <x v="1"/>
    <n v="5"/>
    <x v="3"/>
    <x v="2"/>
  </r>
  <r>
    <x v="0"/>
    <m/>
    <n v="153255"/>
    <s v="Linda Jacobs"/>
    <d v="2023-07-13T00:00:00"/>
    <m/>
    <x v="0"/>
    <x v="1"/>
    <x v="1"/>
    <d v="2022-01-29T00:00:00"/>
    <s v="Single"/>
    <x v="2"/>
    <x v="2"/>
    <n v="3.8"/>
    <x v="3"/>
    <x v="2"/>
  </r>
  <r>
    <x v="0"/>
    <m/>
    <n v="123179"/>
    <s v="Kelley Harding"/>
    <d v="2023-07-18T00:00:00"/>
    <m/>
    <x v="0"/>
    <x v="1"/>
    <x v="1"/>
    <d v="2022-02-20T00:00:00"/>
    <s v="Single"/>
    <x v="1"/>
    <x v="4"/>
    <n v="6.5"/>
    <x v="3"/>
    <x v="2"/>
  </r>
  <r>
    <x v="0"/>
    <m/>
    <n v="189554"/>
    <s v="Rose Carney"/>
    <d v="2023-07-27T00:00:00"/>
    <m/>
    <x v="0"/>
    <x v="1"/>
    <x v="1"/>
    <d v="2022-07-24T00:00:00"/>
    <s v="Married"/>
    <x v="1"/>
    <x v="4"/>
    <n v="8"/>
    <x v="3"/>
    <x v="2"/>
  </r>
  <r>
    <x v="0"/>
    <m/>
    <n v="186786"/>
    <s v="Emery Goodwin"/>
    <d v="2023-08-01T00:00:00"/>
    <m/>
    <x v="4"/>
    <x v="1"/>
    <x v="1"/>
    <d v="2022-09-15T00:00:00"/>
    <s v="Single"/>
    <x v="2"/>
    <x v="5"/>
    <n v="1.5"/>
    <x v="3"/>
    <x v="2"/>
  </r>
  <r>
    <x v="0"/>
    <m/>
    <n v="186818"/>
    <s v="Derick Singh"/>
    <d v="2023-08-03T00:00:00"/>
    <m/>
    <x v="4"/>
    <x v="1"/>
    <x v="0"/>
    <d v="2022-05-15T00:00:00"/>
    <s v="Single"/>
    <x v="1"/>
    <x v="5"/>
    <n v="7"/>
    <x v="3"/>
    <x v="2"/>
  </r>
  <r>
    <x v="0"/>
    <m/>
    <n v="147963"/>
    <s v="Hassan Wilcox"/>
    <d v="2023-08-16T00:00:00"/>
    <m/>
    <x v="0"/>
    <x v="1"/>
    <x v="1"/>
    <d v="2022-02-28T00:00:00"/>
    <s v="Married"/>
    <x v="1"/>
    <x v="1"/>
    <n v="15"/>
    <x v="3"/>
    <x v="2"/>
  </r>
  <r>
    <x v="0"/>
    <m/>
    <n v="150614"/>
    <s v="Natalie Serrano"/>
    <d v="2023-09-12T00:00:00"/>
    <m/>
    <x v="0"/>
    <x v="1"/>
    <x v="0"/>
    <d v="2022-09-26T00:00:00"/>
    <s v="Married"/>
    <x v="1"/>
    <x v="3"/>
    <n v="10.7"/>
    <x v="3"/>
    <x v="2"/>
  </r>
  <r>
    <x v="0"/>
    <m/>
    <n v="137151"/>
    <s v="Sandy Singleton"/>
    <d v="2023-09-26T00:00:00"/>
    <m/>
    <x v="5"/>
    <x v="1"/>
    <x v="1"/>
    <d v="2022-12-22T00:00:00"/>
    <s v="Single"/>
    <x v="2"/>
    <x v="5"/>
    <n v="2"/>
    <x v="3"/>
    <x v="2"/>
  </r>
  <r>
    <x v="0"/>
    <s v="OnRoll"/>
    <n v="173998"/>
    <s v="Josiah Hart"/>
    <d v="2023-10-28T00:00:00"/>
    <m/>
    <x v="0"/>
    <x v="1"/>
    <x v="0"/>
    <d v="2021-03-16T00:00:00"/>
    <s v="Single"/>
    <x v="1"/>
    <x v="6"/>
    <n v="5.3"/>
    <x v="3"/>
    <x v="2"/>
  </r>
  <r>
    <x v="0"/>
    <s v="OnRoll"/>
    <n v="103925"/>
    <s v="Wayne Hartman"/>
    <d v="2023-11-30T00:00:00"/>
    <m/>
    <x v="0"/>
    <x v="1"/>
    <x v="0"/>
    <d v="2021-05-12T00:00:00"/>
    <s v="Married"/>
    <x v="2"/>
    <x v="0"/>
    <n v="4.5"/>
    <x v="3"/>
    <x v="2"/>
  </r>
  <r>
    <x v="0"/>
    <m/>
    <n v="118694"/>
    <s v="Sallie Carpenter"/>
    <d v="2023-12-05T00:00:00"/>
    <m/>
    <x v="0"/>
    <x v="1"/>
    <x v="0"/>
    <d v="2022-01-20T00:00:00"/>
    <s v="Single"/>
    <x v="2"/>
    <x v="0"/>
    <n v="3.5"/>
    <x v="3"/>
    <x v="2"/>
  </r>
  <r>
    <x v="0"/>
    <m/>
    <n v="195849"/>
    <s v="Allen Walters"/>
    <d v="2023-12-05T00:00:00"/>
    <m/>
    <x v="0"/>
    <x v="1"/>
    <x v="1"/>
    <d v="2022-08-13T00:00:00"/>
    <s v="Single"/>
    <x v="2"/>
    <x v="0"/>
    <n v="1.5"/>
    <x v="3"/>
    <x v="2"/>
  </r>
  <r>
    <x v="0"/>
    <m/>
    <n v="182665"/>
    <s v="Flora Bass"/>
    <d v="2023-12-07T00:00:00"/>
    <m/>
    <x v="0"/>
    <x v="1"/>
    <x v="1"/>
    <d v="2022-03-02T00:00:00"/>
    <s v="Married"/>
    <x v="1"/>
    <x v="2"/>
    <n v="10.9"/>
    <x v="3"/>
    <x v="2"/>
  </r>
  <r>
    <x v="0"/>
    <m/>
    <n v="151067"/>
    <s v="Geneva Hardy"/>
    <d v="2023-12-12T00:00:00"/>
    <m/>
    <x v="3"/>
    <x v="1"/>
    <x v="1"/>
    <d v="2022-07-22T00:00:00"/>
    <s v="Married"/>
    <x v="2"/>
    <x v="4"/>
    <n v="2.8"/>
    <x v="3"/>
    <x v="2"/>
  </r>
  <r>
    <x v="0"/>
    <s v="OnRoll"/>
    <n v="188212"/>
    <s v="Roberto Harper"/>
    <d v="2023-12-14T00:00:00"/>
    <m/>
    <x v="0"/>
    <x v="1"/>
    <x v="0"/>
    <d v="2021-12-12T00:00:00"/>
    <s v="Married"/>
    <x v="1"/>
    <x v="2"/>
    <n v="7.5"/>
    <x v="3"/>
    <x v="2"/>
  </r>
  <r>
    <x v="0"/>
    <s v="OnRoll"/>
    <n v="188527"/>
    <s v="Isabella Miles"/>
    <d v="2023-12-14T00:00:00"/>
    <m/>
    <x v="0"/>
    <x v="1"/>
    <x v="1"/>
    <d v="2022-05-20T00:00:00"/>
    <s v="Single"/>
    <x v="2"/>
    <x v="0"/>
    <n v="10"/>
    <x v="3"/>
    <x v="2"/>
  </r>
  <r>
    <x v="0"/>
    <m/>
    <n v="151539"/>
    <s v="Consuelo Beck"/>
    <d v="2023-12-19T00:00:00"/>
    <m/>
    <x v="0"/>
    <x v="1"/>
    <x v="1"/>
    <d v="2022-02-21T00:00:00"/>
    <s v="Single"/>
    <x v="2"/>
    <x v="0"/>
    <n v="0"/>
    <x v="3"/>
    <x v="2"/>
  </r>
  <r>
    <x v="0"/>
    <m/>
    <n v="148895"/>
    <s v="Barney Velasquez"/>
    <d v="2023-12-28T00:00:00"/>
    <m/>
    <x v="3"/>
    <x v="1"/>
    <x v="1"/>
    <d v="2022-04-17T00:00:00"/>
    <s v="Single"/>
    <x v="2"/>
    <x v="4"/>
    <n v="0"/>
    <x v="3"/>
    <x v="2"/>
  </r>
  <r>
    <x v="0"/>
    <s v="OnRoll"/>
    <n v="114477"/>
    <s v="Jamaal Delgado"/>
    <d v="2024-01-04T00:00:00"/>
    <m/>
    <x v="0"/>
    <x v="1"/>
    <x v="0"/>
    <d v="2021-07-09T00:00:00"/>
    <s v="Single"/>
    <x v="2"/>
    <x v="0"/>
    <n v="1.6"/>
    <x v="3"/>
    <x v="2"/>
  </r>
  <r>
    <x v="0"/>
    <m/>
    <n v="170085"/>
    <s v="Glenda Ayers"/>
    <d v="2024-01-11T00:00:00"/>
    <m/>
    <x v="0"/>
    <x v="1"/>
    <x v="0"/>
    <d v="2023-08-06T00:00:00"/>
    <s v="Single"/>
    <x v="2"/>
    <x v="0"/>
    <n v="3.5"/>
    <x v="3"/>
    <x v="2"/>
  </r>
  <r>
    <x v="0"/>
    <m/>
    <n v="148355"/>
    <s v="Vonda Chandler"/>
    <d v="2024-01-11T00:00:00"/>
    <m/>
    <x v="4"/>
    <x v="1"/>
    <x v="0"/>
    <d v="2021-08-25T00:00:00"/>
    <s v="Single"/>
    <x v="2"/>
    <x v="4"/>
    <n v="14"/>
    <x v="3"/>
    <x v="2"/>
  </r>
  <r>
    <x v="0"/>
    <m/>
    <n v="132724"/>
    <s v="Elma Perkins"/>
    <d v="2024-01-23T00:00:00"/>
    <m/>
    <x v="6"/>
    <x v="1"/>
    <x v="0"/>
    <d v="2023-04-05T00:00:00"/>
    <s v="Single"/>
    <x v="2"/>
    <x v="0"/>
    <n v="0.6"/>
    <x v="3"/>
    <x v="2"/>
  </r>
  <r>
    <x v="0"/>
    <m/>
    <n v="136024"/>
    <s v="Irving Good"/>
    <d v="2024-01-23T00:00:00"/>
    <m/>
    <x v="5"/>
    <x v="1"/>
    <x v="0"/>
    <d v="2021-11-24T00:00:00"/>
    <s v="Single"/>
    <x v="3"/>
    <x v="4"/>
    <n v="14"/>
    <x v="3"/>
    <x v="2"/>
  </r>
  <r>
    <x v="0"/>
    <s v="OnRoll"/>
    <n v="186654"/>
    <s v="Carlo Stephens"/>
    <d v="2024-02-01T00:00:00"/>
    <m/>
    <x v="0"/>
    <x v="1"/>
    <x v="1"/>
    <d v="2022-05-27T00:00:00"/>
    <s v="Single"/>
    <x v="2"/>
    <x v="4"/>
    <n v="3.3"/>
    <x v="3"/>
    <x v="2"/>
  </r>
  <r>
    <x v="0"/>
    <m/>
    <n v="140505"/>
    <s v="Fermin Maddox"/>
    <d v="2024-02-01T00:00:00"/>
    <m/>
    <x v="4"/>
    <x v="1"/>
    <x v="1"/>
    <d v="2021-11-04T00:00:00"/>
    <s v="Single"/>
    <x v="2"/>
    <x v="4"/>
    <n v="13"/>
    <x v="3"/>
    <x v="2"/>
  </r>
  <r>
    <x v="0"/>
    <m/>
    <n v="166500"/>
    <s v="Wendell Bonilla"/>
    <d v="2024-02-06T00:00:00"/>
    <m/>
    <x v="0"/>
    <x v="1"/>
    <x v="1"/>
    <d v="2022-12-11T00:00:00"/>
    <s v="Single"/>
    <x v="2"/>
    <x v="2"/>
    <n v="1.5"/>
    <x v="3"/>
    <x v="2"/>
  </r>
  <r>
    <x v="0"/>
    <s v="OnRoll"/>
    <n v="196256"/>
    <s v="Hank Copeland"/>
    <d v="2024-03-15T00:00:00"/>
    <m/>
    <x v="0"/>
    <x v="1"/>
    <x v="1"/>
    <d v="2021-05-03T00:00:00"/>
    <s v="Married"/>
    <x v="2"/>
    <x v="4"/>
    <n v="3"/>
    <x v="3"/>
    <x v="2"/>
  </r>
  <r>
    <x v="0"/>
    <m/>
    <n v="107622"/>
    <s v="Luciano Arnold"/>
    <d v="2024-03-15T00:00:00"/>
    <m/>
    <x v="5"/>
    <x v="1"/>
    <x v="1"/>
    <d v="2021-04-28T00:00:00"/>
    <s v="Single"/>
    <x v="1"/>
    <x v="4"/>
    <n v="13"/>
    <x v="3"/>
    <x v="2"/>
  </r>
  <r>
    <x v="0"/>
    <m/>
    <n v="140845"/>
    <s v="Aimee Freeman"/>
    <d v="2024-03-23T00:00:00"/>
    <m/>
    <x v="3"/>
    <x v="1"/>
    <x v="0"/>
    <d v="2023-06-04T00:00:00"/>
    <s v="Single"/>
    <x v="1"/>
    <x v="4"/>
    <n v="10"/>
    <x v="3"/>
    <x v="2"/>
  </r>
  <r>
    <x v="0"/>
    <m/>
    <n v="196163"/>
    <s v="Jarrett Henson"/>
    <d v="2024-03-23T00:00:00"/>
    <m/>
    <x v="6"/>
    <x v="1"/>
    <x v="0"/>
    <d v="2022-12-16T00:00:00"/>
    <s v="Single"/>
    <x v="2"/>
    <x v="4"/>
    <n v="6.8"/>
    <x v="3"/>
    <x v="2"/>
  </r>
  <r>
    <x v="0"/>
    <m/>
    <n v="143527"/>
    <s v="Garland Barber"/>
    <d v="2024-03-23T00:00:00"/>
    <m/>
    <x v="4"/>
    <x v="1"/>
    <x v="0"/>
    <d v="2021-02-14T00:00:00"/>
    <s v="Married"/>
    <x v="3"/>
    <x v="0"/>
    <n v="7"/>
    <x v="3"/>
    <x v="2"/>
  </r>
  <r>
    <x v="0"/>
    <m/>
    <n v="121781"/>
    <s v="Filiberto Baird"/>
    <d v="2024-03-23T00:00:00"/>
    <m/>
    <x v="4"/>
    <x v="1"/>
    <x v="0"/>
    <d v="2021-03-11T00:00:00"/>
    <s v="Single"/>
    <x v="3"/>
    <x v="0"/>
    <n v="13"/>
    <x v="3"/>
    <x v="2"/>
  </r>
  <r>
    <x v="0"/>
    <s v="OnRoll"/>
    <n v="190716"/>
    <s v="Reed Pena"/>
    <d v="2024-04-03T00:00:00"/>
    <m/>
    <x v="3"/>
    <x v="1"/>
    <x v="1"/>
    <d v="2021-06-15T00:00:00"/>
    <s v="Married"/>
    <x v="2"/>
    <x v="0"/>
    <n v="4"/>
    <x v="3"/>
    <x v="2"/>
  </r>
  <r>
    <x v="0"/>
    <m/>
    <n v="131453"/>
    <s v="Cecile Garner"/>
    <d v="2024-04-03T00:00:00"/>
    <m/>
    <x v="5"/>
    <x v="1"/>
    <x v="0"/>
    <d v="2023-01-14T00:00:00"/>
    <s v="Single"/>
    <x v="2"/>
    <x v="1"/>
    <n v="8"/>
    <x v="3"/>
    <x v="2"/>
  </r>
  <r>
    <x v="0"/>
    <m/>
    <n v="133611"/>
    <s v="Art Kim"/>
    <d v="2024-04-19T00:00:00"/>
    <m/>
    <x v="5"/>
    <x v="1"/>
    <x v="1"/>
    <d v="1999-05-20T00:00:00"/>
    <s v="Single"/>
    <x v="2"/>
    <x v="5"/>
    <n v="0"/>
    <x v="3"/>
    <x v="2"/>
  </r>
  <r>
    <x v="1"/>
    <m/>
    <s v="CT17933"/>
    <s v="Fanny Hampton"/>
    <d v="2022-06-03T00:00:00"/>
    <d v="2023-01-25T00:00:00"/>
    <x v="0"/>
    <x v="0"/>
    <x v="0"/>
    <d v="2021-01-30T00:00:00"/>
    <s v="Single"/>
    <x v="0"/>
    <x v="0"/>
    <n v="2.8"/>
    <x v="2"/>
    <x v="3"/>
  </r>
  <r>
    <x v="1"/>
    <m/>
    <s v="CT17253"/>
    <s v="Edison York"/>
    <d v="2022-06-09T00:00:00"/>
    <d v="2023-08-11T00:00:00"/>
    <x v="0"/>
    <x v="0"/>
    <x v="0"/>
    <d v="2021-10-28T00:00:00"/>
    <s v="Single"/>
    <x v="0"/>
    <x v="4"/>
    <n v="0"/>
    <x v="2"/>
    <x v="3"/>
  </r>
  <r>
    <x v="1"/>
    <m/>
    <s v="CT14693"/>
    <s v="Geraldo Pugh"/>
    <d v="2022-07-07T00:00:00"/>
    <d v="2023-08-30T00:00:00"/>
    <x v="6"/>
    <x v="0"/>
    <x v="0"/>
    <d v="2021-12-26T00:00:00"/>
    <s v="Single"/>
    <x v="0"/>
    <x v="4"/>
    <n v="3"/>
    <x v="2"/>
    <x v="3"/>
  </r>
  <r>
    <x v="1"/>
    <m/>
    <s v="CT11465"/>
    <s v="Ellis Best"/>
    <d v="2022-08-04T00:00:00"/>
    <d v="2023-05-13T00:00:00"/>
    <x v="0"/>
    <x v="0"/>
    <x v="0"/>
    <d v="2021-04-07T00:00:00"/>
    <s v="Single"/>
    <x v="0"/>
    <x v="2"/>
    <n v="5.9"/>
    <x v="2"/>
    <x v="3"/>
  </r>
  <r>
    <x v="0"/>
    <m/>
    <s v="CT12948"/>
    <s v="Olen Walter"/>
    <d v="2022-09-01T00:00:00"/>
    <m/>
    <x v="5"/>
    <x v="0"/>
    <x v="0"/>
    <d v="2021-10-18T00:00:00"/>
    <s v="Married"/>
    <x v="0"/>
    <x v="3"/>
    <n v="10"/>
    <x v="2"/>
    <x v="3"/>
  </r>
  <r>
    <x v="1"/>
    <m/>
    <s v="CT11145"/>
    <s v="Mckinley Baird"/>
    <d v="2022-09-08T00:00:00"/>
    <d v="2023-12-30T00:00:00"/>
    <x v="5"/>
    <x v="0"/>
    <x v="1"/>
    <d v="2021-04-26T00:00:00"/>
    <s v="Single"/>
    <x v="0"/>
    <x v="0"/>
    <n v="1"/>
    <x v="4"/>
    <x v="3"/>
  </r>
  <r>
    <x v="0"/>
    <m/>
    <s v="CT18269"/>
    <s v="Maura Huynh"/>
    <d v="2022-11-08T00:00:00"/>
    <m/>
    <x v="5"/>
    <x v="0"/>
    <x v="0"/>
    <d v="2021-10-27T00:00:00"/>
    <s v="Married"/>
    <x v="0"/>
    <x v="5"/>
    <n v="10"/>
    <x v="4"/>
    <x v="3"/>
  </r>
  <r>
    <x v="1"/>
    <m/>
    <s v="CT13931"/>
    <s v="Buster Joyce"/>
    <d v="2023-01-21T00:00:00"/>
    <d v="2023-11-21T00:00:00"/>
    <x v="1"/>
    <x v="0"/>
    <x v="0"/>
    <d v="2021-09-06T00:00:00"/>
    <s v="Single"/>
    <x v="0"/>
    <x v="0"/>
    <n v="0"/>
    <x v="4"/>
    <x v="3"/>
  </r>
  <r>
    <x v="2"/>
    <m/>
    <n v="152991"/>
    <s v="Walker Whitney"/>
    <d v="2022-05-05T00:00:00"/>
    <m/>
    <x v="0"/>
    <x v="1"/>
    <x v="0"/>
    <d v="2021-02-18T00:00:00"/>
    <s v="Married"/>
    <x v="1"/>
    <x v="1"/>
    <n v="15"/>
    <x v="1"/>
    <x v="4"/>
  </r>
  <r>
    <x v="1"/>
    <s v="OnRoll"/>
    <n v="101996"/>
    <s v="Alexander Fowler"/>
    <d v="2022-06-30T00:00:00"/>
    <d v="2023-07-01T00:00:00"/>
    <x v="0"/>
    <x v="1"/>
    <x v="0"/>
    <d v="2021-08-06T00:00:00"/>
    <s v="Single"/>
    <x v="2"/>
    <x v="5"/>
    <n v="1"/>
    <x v="1"/>
    <x v="3"/>
  </r>
  <r>
    <x v="1"/>
    <m/>
    <n v="138939"/>
    <s v="Susanna Humphrey"/>
    <d v="2022-07-07T00:00:00"/>
    <d v="2023-05-08T00:00:00"/>
    <x v="0"/>
    <x v="1"/>
    <x v="1"/>
    <d v="2021-04-03T00:00:00"/>
    <s v="Married"/>
    <x v="1"/>
    <x v="1"/>
    <n v="6"/>
    <x v="1"/>
    <x v="3"/>
  </r>
  <r>
    <x v="1"/>
    <m/>
    <n v="198396"/>
    <s v="Beth Lowe"/>
    <d v="2022-07-21T00:00:00"/>
    <d v="2024-02-02T00:00:00"/>
    <x v="0"/>
    <x v="1"/>
    <x v="0"/>
    <d v="2021-01-12T00:00:00"/>
    <s v="Married"/>
    <x v="3"/>
    <x v="6"/>
    <n v="18"/>
    <x v="1"/>
    <x v="3"/>
  </r>
  <r>
    <x v="0"/>
    <m/>
    <n v="194143"/>
    <s v="Casandra Aguilar"/>
    <d v="2022-07-21T00:00:00"/>
    <m/>
    <x v="5"/>
    <x v="1"/>
    <x v="0"/>
    <d v="2021-02-21T00:00:00"/>
    <s v="Married"/>
    <x v="1"/>
    <x v="5"/>
    <n v="6.5"/>
    <x v="1"/>
    <x v="3"/>
  </r>
  <r>
    <x v="2"/>
    <m/>
    <n v="134729"/>
    <s v="Lynn Andersen"/>
    <d v="2022-07-26T00:00:00"/>
    <m/>
    <x v="0"/>
    <x v="1"/>
    <x v="0"/>
    <d v="2021-01-10T00:00:00"/>
    <s v="Single"/>
    <x v="1"/>
    <x v="1"/>
    <n v="7"/>
    <x v="1"/>
    <x v="3"/>
  </r>
  <r>
    <x v="1"/>
    <m/>
    <n v="186526"/>
    <s v="Leola Vega"/>
    <d v="2022-09-01T00:00:00"/>
    <d v="2023-12-09T00:00:00"/>
    <x v="5"/>
    <x v="1"/>
    <x v="1"/>
    <d v="2021-12-10T00:00:00"/>
    <s v="Married"/>
    <x v="2"/>
    <x v="5"/>
    <n v="1.8"/>
    <x v="1"/>
    <x v="3"/>
  </r>
  <r>
    <x v="0"/>
    <m/>
    <n v="115395"/>
    <s v="Hillary Spencer"/>
    <d v="2022-09-01T00:00:00"/>
    <m/>
    <x v="5"/>
    <x v="1"/>
    <x v="1"/>
    <d v="2021-10-26T00:00:00"/>
    <s v="Single"/>
    <x v="2"/>
    <x v="5"/>
    <n v="3.5"/>
    <x v="1"/>
    <x v="3"/>
  </r>
  <r>
    <x v="0"/>
    <m/>
    <n v="160948"/>
    <s v="Joesph Jones"/>
    <d v="2022-09-01T00:00:00"/>
    <m/>
    <x v="5"/>
    <x v="1"/>
    <x v="1"/>
    <d v="2021-10-03T00:00:00"/>
    <s v="Single"/>
    <x v="2"/>
    <x v="5"/>
    <n v="0"/>
    <x v="1"/>
    <x v="3"/>
  </r>
  <r>
    <x v="0"/>
    <m/>
    <n v="163814"/>
    <s v="Otha May"/>
    <d v="2022-09-01T00:00:00"/>
    <m/>
    <x v="4"/>
    <x v="1"/>
    <x v="0"/>
    <d v="2021-01-12T00:00:00"/>
    <s v="Single"/>
    <x v="2"/>
    <x v="5"/>
    <n v="2"/>
    <x v="1"/>
    <x v="3"/>
  </r>
  <r>
    <x v="0"/>
    <m/>
    <n v="163161"/>
    <s v="Ophelia Black"/>
    <d v="2022-09-01T00:00:00"/>
    <m/>
    <x v="5"/>
    <x v="1"/>
    <x v="0"/>
    <d v="2021-01-19T00:00:00"/>
    <s v="Married"/>
    <x v="1"/>
    <x v="5"/>
    <n v="13"/>
    <x v="1"/>
    <x v="3"/>
  </r>
  <r>
    <x v="0"/>
    <m/>
    <n v="173240"/>
    <s v="Helena Williamson"/>
    <d v="2022-09-15T00:00:00"/>
    <m/>
    <x v="4"/>
    <x v="1"/>
    <x v="1"/>
    <d v="2021-02-02T00:00:00"/>
    <s v="Married"/>
    <x v="1"/>
    <x v="5"/>
    <n v="8.1999999999999993"/>
    <x v="1"/>
    <x v="3"/>
  </r>
  <r>
    <x v="0"/>
    <m/>
    <n v="109673"/>
    <s v="Megan Kent"/>
    <d v="2022-10-06T00:00:00"/>
    <m/>
    <x v="5"/>
    <x v="1"/>
    <x v="0"/>
    <d v="2021-05-10T00:00:00"/>
    <s v="Single"/>
    <x v="2"/>
    <x v="5"/>
    <n v="7.6"/>
    <x v="1"/>
    <x v="3"/>
  </r>
  <r>
    <x v="0"/>
    <m/>
    <n v="138302"/>
    <s v="Rufus Escobar"/>
    <d v="2022-10-13T00:00:00"/>
    <m/>
    <x v="5"/>
    <x v="1"/>
    <x v="0"/>
    <d v="2021-08-25T00:00:00"/>
    <s v="Single"/>
    <x v="2"/>
    <x v="5"/>
    <n v="6.2"/>
    <x v="1"/>
    <x v="3"/>
  </r>
  <r>
    <x v="2"/>
    <m/>
    <n v="126765"/>
    <s v="Ericka Hurst"/>
    <d v="2022-11-03T00:00:00"/>
    <m/>
    <x v="0"/>
    <x v="1"/>
    <x v="0"/>
    <d v="2021-01-21T00:00:00"/>
    <s v="Married"/>
    <x v="1"/>
    <x v="1"/>
    <n v="15"/>
    <x v="5"/>
    <x v="3"/>
  </r>
  <r>
    <x v="2"/>
    <m/>
    <n v="188099"/>
    <s v="Johnny Cisneros"/>
    <d v="2022-12-06T00:00:00"/>
    <m/>
    <x v="0"/>
    <x v="1"/>
    <x v="0"/>
    <d v="2021-05-16T00:00:00"/>
    <s v="Married"/>
    <x v="1"/>
    <x v="1"/>
    <n v="16"/>
    <x v="5"/>
    <x v="3"/>
  </r>
  <r>
    <x v="0"/>
    <s v="OnRoll"/>
    <n v="115441"/>
    <s v="Alba Norton"/>
    <d v="2023-02-01T00:00:00"/>
    <m/>
    <x v="0"/>
    <x v="1"/>
    <x v="0"/>
    <d v="2021-06-30T00:00:00"/>
    <s v="Single"/>
    <x v="2"/>
    <x v="3"/>
    <n v="1.5"/>
    <x v="5"/>
    <x v="3"/>
  </r>
  <r>
    <x v="0"/>
    <s v="OnRoll"/>
    <n v="169669"/>
    <s v="Sanford Patterson"/>
    <d v="2023-04-11T00:00:00"/>
    <m/>
    <x v="0"/>
    <x v="1"/>
    <x v="1"/>
    <d v="2022-03-19T00:00:00"/>
    <s v="Married"/>
    <x v="1"/>
    <x v="2"/>
    <n v="6"/>
    <x v="5"/>
    <x v="3"/>
  </r>
  <r>
    <x v="0"/>
    <m/>
    <n v="100957"/>
    <s v="Blanche Greer"/>
    <d v="2023-04-20T00:00:00"/>
    <m/>
    <x v="0"/>
    <x v="1"/>
    <x v="1"/>
    <d v="2022-03-12T00:00:00"/>
    <s v="Married"/>
    <x v="1"/>
    <x v="1"/>
    <n v="8"/>
    <x v="5"/>
    <x v="3"/>
  </r>
  <r>
    <x v="1"/>
    <m/>
    <s v="CT16953"/>
    <s v="Sal Glass"/>
    <d v="2021-09-30T00:00:00"/>
    <d v="2022-09-30T00:00:00"/>
    <x v="0"/>
    <x v="0"/>
    <x v="1"/>
    <d v="2021-04-11T00:00:00"/>
    <s v="Single"/>
    <x v="0"/>
    <x v="0"/>
    <n v="0"/>
    <x v="4"/>
    <x v="4"/>
  </r>
  <r>
    <x v="1"/>
    <m/>
    <s v="CT11213"/>
    <s v="Malik Schneider"/>
    <d v="2022-04-04T00:00:00"/>
    <d v="2022-07-16T00:00:00"/>
    <x v="3"/>
    <x v="0"/>
    <x v="0"/>
    <d v="2021-08-23T00:00:00"/>
    <s v="Single"/>
    <x v="0"/>
    <x v="3"/>
    <n v="2"/>
    <x v="4"/>
    <x v="4"/>
  </r>
  <r>
    <x v="0"/>
    <m/>
    <n v="132557"/>
    <s v="Mac Marquez"/>
    <d v="2021-05-27T00:00:00"/>
    <m/>
    <x v="0"/>
    <x v="1"/>
    <x v="1"/>
    <d v="2021-08-21T00:00:00"/>
    <s v="Single"/>
    <x v="1"/>
    <x v="2"/>
    <n v="7"/>
    <x v="5"/>
    <x v="4"/>
  </r>
  <r>
    <x v="1"/>
    <s v="OnRoll"/>
    <n v="187280"/>
    <s v="Spencer Webb"/>
    <d v="2021-08-10T00:00:00"/>
    <d v="2022-02-19T00:00:00"/>
    <x v="5"/>
    <x v="1"/>
    <x v="1"/>
    <d v="2021-09-16T00:00:00"/>
    <s v="Single"/>
    <x v="2"/>
    <x v="1"/>
    <n v="0"/>
    <x v="0"/>
    <x v="4"/>
  </r>
  <r>
    <x v="0"/>
    <s v="OnRoll"/>
    <n v="190396"/>
    <s v="Valentin Mcdonald"/>
    <d v="2021-08-10T00:00:00"/>
    <m/>
    <x v="5"/>
    <x v="1"/>
    <x v="0"/>
    <d v="2021-11-13T00:00:00"/>
    <s v="Single"/>
    <x v="2"/>
    <x v="1"/>
    <n v="0"/>
    <x v="5"/>
    <x v="4"/>
  </r>
  <r>
    <x v="2"/>
    <m/>
    <n v="161242"/>
    <s v="Royce Schneider"/>
    <d v="2021-08-12T00:00:00"/>
    <m/>
    <x v="6"/>
    <x v="1"/>
    <x v="0"/>
    <d v="2021-12-26T00:00:00"/>
    <s v="Married"/>
    <x v="1"/>
    <x v="1"/>
    <n v="10"/>
    <x v="5"/>
    <x v="4"/>
  </r>
  <r>
    <x v="1"/>
    <m/>
    <n v="156965"/>
    <s v="Kara Mclean"/>
    <d v="2021-08-17T00:00:00"/>
    <d v="2022-03-16T00:00:00"/>
    <x v="5"/>
    <x v="1"/>
    <x v="1"/>
    <d v="2021-02-20T00:00:00"/>
    <s v="Married"/>
    <x v="1"/>
    <x v="1"/>
    <n v="11"/>
    <x v="5"/>
    <x v="4"/>
  </r>
  <r>
    <x v="1"/>
    <m/>
    <n v="192455"/>
    <s v="Damian Mckee"/>
    <d v="2021-09-01T00:00:00"/>
    <d v="2021-02-06T00:00:00"/>
    <x v="4"/>
    <x v="1"/>
    <x v="0"/>
    <d v="2021-05-22T00:00:00"/>
    <s v="Married"/>
    <x v="1"/>
    <x v="3"/>
    <n v="8"/>
    <x v="5"/>
    <x v="4"/>
  </r>
  <r>
    <x v="1"/>
    <m/>
    <n v="174038"/>
    <s v="Mohamed Duran"/>
    <d v="2021-09-01T00:00:00"/>
    <d v="2021-03-27T00:00:00"/>
    <x v="5"/>
    <x v="1"/>
    <x v="1"/>
    <d v="2021-12-10T00:00:00"/>
    <s v="Married"/>
    <x v="1"/>
    <x v="6"/>
    <n v="12"/>
    <x v="5"/>
    <x v="4"/>
  </r>
  <r>
    <x v="0"/>
    <m/>
    <n v="129765"/>
    <s v="Vera Harvey"/>
    <d v="2021-09-01T00:00:00"/>
    <m/>
    <x v="4"/>
    <x v="1"/>
    <x v="0"/>
    <d v="2021-01-15T00:00:00"/>
    <s v="Single"/>
    <x v="1"/>
    <x v="1"/>
    <n v="5"/>
    <x v="5"/>
    <x v="4"/>
  </r>
  <r>
    <x v="0"/>
    <m/>
    <n v="154732"/>
    <s v="Cristina David"/>
    <d v="2021-09-09T00:00:00"/>
    <m/>
    <x v="1"/>
    <x v="1"/>
    <x v="1"/>
    <d v="2021-11-07T00:00:00"/>
    <s v="Single"/>
    <x v="2"/>
    <x v="1"/>
    <n v="0"/>
    <x v="5"/>
    <x v="4"/>
  </r>
  <r>
    <x v="0"/>
    <m/>
    <n v="137413"/>
    <s v="Florence Randall"/>
    <d v="2021-09-16T00:00:00"/>
    <m/>
    <x v="1"/>
    <x v="1"/>
    <x v="0"/>
    <d v="2021-01-24T00:00:00"/>
    <s v="Single"/>
    <x v="3"/>
    <x v="1"/>
    <n v="9"/>
    <x v="5"/>
    <x v="4"/>
  </r>
  <r>
    <x v="0"/>
    <m/>
    <n v="185734"/>
    <s v="Andrea Logan"/>
    <d v="2021-09-16T00:00:00"/>
    <m/>
    <x v="5"/>
    <x v="1"/>
    <x v="0"/>
    <d v="2021-12-06T00:00:00"/>
    <s v="Single"/>
    <x v="2"/>
    <x v="4"/>
    <n v="0"/>
    <x v="5"/>
    <x v="4"/>
  </r>
  <r>
    <x v="0"/>
    <m/>
    <n v="142749"/>
    <s v="Barrett Wallace"/>
    <d v="2021-09-30T00:00:00"/>
    <m/>
    <x v="5"/>
    <x v="1"/>
    <x v="0"/>
    <d v="2021-07-04T00:00:00"/>
    <s v="Single"/>
    <x v="1"/>
    <x v="1"/>
    <n v="17"/>
    <x v="5"/>
    <x v="4"/>
  </r>
  <r>
    <x v="1"/>
    <m/>
    <n v="116657"/>
    <s v="Claude Ramsey"/>
    <d v="2021-10-21T00:00:00"/>
    <d v="2022-06-28T00:00:00"/>
    <x v="5"/>
    <x v="1"/>
    <x v="0"/>
    <d v="2021-04-14T00:00:00"/>
    <s v="Single"/>
    <x v="1"/>
    <x v="1"/>
    <n v="4.5999999999999996"/>
    <x v="5"/>
    <x v="4"/>
  </r>
  <r>
    <x v="0"/>
    <m/>
    <n v="144530"/>
    <s v="Mason Wells"/>
    <d v="2021-11-18T00:00:00"/>
    <m/>
    <x v="5"/>
    <x v="1"/>
    <x v="0"/>
    <d v="2021-03-20T00:00:00"/>
    <s v="Single"/>
    <x v="1"/>
    <x v="5"/>
    <n v="14"/>
    <x v="5"/>
    <x v="4"/>
  </r>
  <r>
    <x v="0"/>
    <m/>
    <n v="101259"/>
    <s v="Whitney Vance"/>
    <d v="2022-02-24T00:00:00"/>
    <m/>
    <x v="0"/>
    <x v="1"/>
    <x v="0"/>
    <d v="2021-11-27T00:00:00"/>
    <s v="Married"/>
    <x v="3"/>
    <x v="1"/>
    <n v="12"/>
    <x v="5"/>
    <x v="4"/>
  </r>
  <r>
    <x v="0"/>
    <m/>
    <n v="122323"/>
    <s v="Bobbie Harvey"/>
    <d v="2022-03-03T00:00:00"/>
    <m/>
    <x v="3"/>
    <x v="1"/>
    <x v="1"/>
    <d v="2021-08-18T00:00:00"/>
    <s v="Married"/>
    <x v="1"/>
    <x v="5"/>
    <n v="14"/>
    <x v="5"/>
    <x v="4"/>
  </r>
  <r>
    <x v="0"/>
    <m/>
    <n v="136489"/>
    <s v="Russel Fox"/>
    <d v="2022-03-17T00:00:00"/>
    <m/>
    <x v="5"/>
    <x v="1"/>
    <x v="0"/>
    <d v="2021-02-03T00:00:00"/>
    <s v="Married"/>
    <x v="1"/>
    <x v="5"/>
    <n v="5.3"/>
    <x v="5"/>
    <x v="4"/>
  </r>
  <r>
    <x v="0"/>
    <m/>
    <n v="107161"/>
    <s v="Benita Holland"/>
    <d v="2022-03-24T00:00:00"/>
    <m/>
    <x v="4"/>
    <x v="1"/>
    <x v="1"/>
    <d v="2021-07-25T00:00:00"/>
    <s v="Single"/>
    <x v="2"/>
    <x v="5"/>
    <n v="2.5"/>
    <x v="5"/>
    <x v="4"/>
  </r>
  <r>
    <x v="0"/>
    <m/>
    <n v="182061"/>
    <s v="Cory Leblanc"/>
    <d v="2022-03-24T00:00:00"/>
    <m/>
    <x v="5"/>
    <x v="1"/>
    <x v="0"/>
    <d v="2021-05-06T00:00:00"/>
    <s v="Single"/>
    <x v="1"/>
    <x v="5"/>
    <n v="2.11"/>
    <x v="0"/>
    <x v="4"/>
  </r>
  <r>
    <x v="0"/>
    <m/>
    <n v="123190"/>
    <s v="Isaiah George"/>
    <d v="2022-04-07T00:00:00"/>
    <m/>
    <x v="5"/>
    <x v="1"/>
    <x v="1"/>
    <d v="2021-01-18T00:00:00"/>
    <s v="Single"/>
    <x v="2"/>
    <x v="5"/>
    <n v="0"/>
    <x v="0"/>
    <x v="4"/>
  </r>
  <r>
    <x v="0"/>
    <m/>
    <n v="118638"/>
    <s v="Brad Nichols"/>
    <d v="2022-04-07T00:00:00"/>
    <m/>
    <x v="5"/>
    <x v="1"/>
    <x v="0"/>
    <d v="2021-11-24T00:00:00"/>
    <s v="Married"/>
    <x v="1"/>
    <x v="5"/>
    <n v="15"/>
    <x v="0"/>
    <x v="4"/>
  </r>
  <r>
    <x v="0"/>
    <m/>
    <n v="132330"/>
    <s v="Quentin Mcdonald"/>
    <d v="2022-04-14T00:00:00"/>
    <m/>
    <x v="6"/>
    <x v="1"/>
    <x v="0"/>
    <d v="2021-10-14T00:00:00"/>
    <s v="Married"/>
    <x v="3"/>
    <x v="4"/>
    <n v="14"/>
    <x v="1"/>
    <x v="4"/>
  </r>
  <r>
    <x v="0"/>
    <m/>
    <n v="191594"/>
    <s v="Johnie Pruitt"/>
    <d v="2022-04-19T00:00:00"/>
    <m/>
    <x v="3"/>
    <x v="1"/>
    <x v="0"/>
    <d v="2021-09-07T00:00:00"/>
    <s v="Married"/>
    <x v="1"/>
    <x v="1"/>
    <n v="8"/>
    <x v="5"/>
    <x v="4"/>
  </r>
  <r>
    <x v="0"/>
    <s v="IJP"/>
    <s v="CT18807"/>
    <s v="Adrian Odonnell"/>
    <d v="2020-04-29T00:00:00"/>
    <m/>
    <x v="4"/>
    <x v="0"/>
    <x v="0"/>
    <d v="2021-07-13T00:00:00"/>
    <s v="Single"/>
    <x v="0"/>
    <x v="1"/>
    <n v="0"/>
    <x v="4"/>
    <x v="5"/>
  </r>
  <r>
    <x v="1"/>
    <m/>
    <s v="CT12674"/>
    <s v="Marina Velazquez"/>
    <d v="2020-09-01T00:00:00"/>
    <d v="2020-12-18T00:00:00"/>
    <x v="4"/>
    <x v="0"/>
    <x v="0"/>
    <d v="2021-10-03T00:00:00"/>
    <s v="Married"/>
    <x v="1"/>
    <x v="6"/>
    <n v="6.5"/>
    <x v="4"/>
    <x v="5"/>
  </r>
  <r>
    <x v="0"/>
    <m/>
    <s v="CT11735"/>
    <s v="Regina Schaefer"/>
    <d v="2021-01-01T00:00:00"/>
    <m/>
    <x v="4"/>
    <x v="0"/>
    <x v="0"/>
    <d v="2021-02-09T00:00:00"/>
    <s v="Single"/>
    <x v="0"/>
    <x v="1"/>
    <n v="4.8"/>
    <x v="4"/>
    <x v="5"/>
  </r>
  <r>
    <x v="0"/>
    <m/>
    <s v="CT10131"/>
    <s v="Donna Sparks"/>
    <d v="2021-02-09T00:00:00"/>
    <m/>
    <x v="4"/>
    <x v="0"/>
    <x v="0"/>
    <d v="2021-03-14T00:00:00"/>
    <s v="Single"/>
    <x v="0"/>
    <x v="2"/>
    <n v="14"/>
    <x v="2"/>
    <x v="5"/>
  </r>
  <r>
    <x v="0"/>
    <s v="IJP"/>
    <n v="107224"/>
    <s v="Preston Case"/>
    <d v="2020-02-06T00:00:00"/>
    <m/>
    <x v="4"/>
    <x v="1"/>
    <x v="0"/>
    <d v="2021-08-25T00:00:00"/>
    <s v="Single"/>
    <x v="1"/>
    <x v="1"/>
    <n v="13"/>
    <x v="0"/>
    <x v="5"/>
  </r>
  <r>
    <x v="1"/>
    <s v="IJP"/>
    <n v="148467"/>
    <s v="Branden Kaiser"/>
    <d v="2020-02-08T00:00:00"/>
    <d v="2024-06-30T00:00:00"/>
    <x v="2"/>
    <x v="1"/>
    <x v="1"/>
    <d v="2021-10-25T00:00:00"/>
    <s v="Single"/>
    <x v="1"/>
    <x v="6"/>
    <n v="5"/>
    <x v="0"/>
    <x v="5"/>
  </r>
  <r>
    <x v="1"/>
    <m/>
    <n v="114416"/>
    <s v="Julia Bell"/>
    <d v="2020-02-13T00:00:00"/>
    <d v="2024-01-09T00:00:00"/>
    <x v="1"/>
    <x v="1"/>
    <x v="0"/>
    <d v="2021-11-24T00:00:00"/>
    <s v="Married"/>
    <x v="3"/>
    <x v="3"/>
    <n v="8"/>
    <x v="0"/>
    <x v="5"/>
  </r>
  <r>
    <x v="0"/>
    <m/>
    <n v="189095"/>
    <s v="Sammy Hancock"/>
    <d v="2020-02-26T00:00:00"/>
    <m/>
    <x v="1"/>
    <x v="1"/>
    <x v="0"/>
    <d v="2021-11-04T00:00:00"/>
    <s v="Single"/>
    <x v="3"/>
    <x v="1"/>
    <n v="17"/>
    <x v="0"/>
    <x v="5"/>
  </r>
  <r>
    <x v="1"/>
    <m/>
    <n v="123874"/>
    <s v="Mabel Cuevas"/>
    <d v="2020-03-11T00:00:00"/>
    <d v="2021-12-30T00:00:00"/>
    <x v="1"/>
    <x v="1"/>
    <x v="0"/>
    <d v="2021-12-28T00:00:00"/>
    <s v="Married"/>
    <x v="1"/>
    <x v="6"/>
    <n v="14"/>
    <x v="0"/>
    <x v="5"/>
  </r>
  <r>
    <x v="0"/>
    <s v="IJP"/>
    <n v="147637"/>
    <s v="Janelle Wiley"/>
    <d v="2020-03-26T00:00:00"/>
    <m/>
    <x v="4"/>
    <x v="1"/>
    <x v="0"/>
    <d v="2021-04-28T00:00:00"/>
    <s v="Single"/>
    <x v="1"/>
    <x v="3"/>
    <n v="14"/>
    <x v="0"/>
    <x v="5"/>
  </r>
  <r>
    <x v="0"/>
    <s v="IJP"/>
    <n v="183900"/>
    <s v="Norris Madden"/>
    <d v="2020-04-29T00:00:00"/>
    <m/>
    <x v="1"/>
    <x v="1"/>
    <x v="0"/>
    <d v="2021-04-23T00:00:00"/>
    <s v="Single"/>
    <x v="3"/>
    <x v="6"/>
    <n v="13"/>
    <x v="0"/>
    <x v="5"/>
  </r>
  <r>
    <x v="0"/>
    <m/>
    <n v="110700"/>
    <s v="Vincenzo Mcdowell"/>
    <d v="2020-05-20T00:00:00"/>
    <m/>
    <x v="1"/>
    <x v="1"/>
    <x v="0"/>
    <d v="2021-04-21T00:00:00"/>
    <s v="Single"/>
    <x v="3"/>
    <x v="3"/>
    <n v="13"/>
    <x v="0"/>
    <x v="5"/>
  </r>
  <r>
    <x v="0"/>
    <s v="IJP"/>
    <n v="188035"/>
    <s v="Chris Mcbride"/>
    <d v="2020-06-12T00:00:00"/>
    <m/>
    <x v="5"/>
    <x v="1"/>
    <x v="0"/>
    <d v="2022-08-08T00:00:00"/>
    <s v="Single"/>
    <x v="1"/>
    <x v="1"/>
    <n v="7"/>
    <x v="0"/>
    <x v="5"/>
  </r>
  <r>
    <x v="0"/>
    <m/>
    <n v="131049"/>
    <s v="Wesley Berger"/>
    <d v="2020-06-18T00:00:00"/>
    <m/>
    <x v="1"/>
    <x v="1"/>
    <x v="0"/>
    <d v="2021-12-31T00:00:00"/>
    <s v="Single"/>
    <x v="3"/>
    <x v="1"/>
    <n v="13"/>
    <x v="0"/>
    <x v="5"/>
  </r>
  <r>
    <x v="1"/>
    <m/>
    <n v="180582"/>
    <s v="Bart Sims"/>
    <d v="2020-06-26T00:00:00"/>
    <d v="2021-06-30T00:00:00"/>
    <x v="5"/>
    <x v="1"/>
    <x v="1"/>
    <d v="2021-05-27T00:00:00"/>
    <s v="Single"/>
    <x v="2"/>
    <x v="6"/>
    <n v="0"/>
    <x v="0"/>
    <x v="5"/>
  </r>
  <r>
    <x v="0"/>
    <m/>
    <n v="126718"/>
    <s v="Tricia Arroyo"/>
    <d v="2020-07-08T00:00:00"/>
    <m/>
    <x v="1"/>
    <x v="1"/>
    <x v="0"/>
    <d v="2021-10-03T00:00:00"/>
    <s v="Single"/>
    <x v="1"/>
    <x v="6"/>
    <n v="6.5"/>
    <x v="0"/>
    <x v="5"/>
  </r>
  <r>
    <x v="0"/>
    <m/>
    <n v="192425"/>
    <s v="Kennith Barber"/>
    <d v="2020-07-24T00:00:00"/>
    <m/>
    <x v="4"/>
    <x v="1"/>
    <x v="0"/>
    <d v="2021-05-22T00:00:00"/>
    <s v="Single"/>
    <x v="1"/>
    <x v="3"/>
    <n v="8"/>
    <x v="0"/>
    <x v="5"/>
  </r>
  <r>
    <x v="0"/>
    <m/>
    <n v="174008"/>
    <s v="Alonzo Harrison"/>
    <d v="2020-07-31T00:00:00"/>
    <m/>
    <x v="5"/>
    <x v="1"/>
    <x v="1"/>
    <d v="2021-12-10T00:00:00"/>
    <s v="Single"/>
    <x v="1"/>
    <x v="6"/>
    <n v="12"/>
    <x v="0"/>
    <x v="5"/>
  </r>
  <r>
    <x v="1"/>
    <m/>
    <n v="129735"/>
    <s v="Ryan Simmons"/>
    <d v="2020-08-14T00:00:00"/>
    <d v="2022-06-29T00:00:00"/>
    <x v="1"/>
    <x v="1"/>
    <x v="0"/>
    <d v="2021-01-15T00:00:00"/>
    <s v="Single"/>
    <x v="1"/>
    <x v="1"/>
    <n v="5"/>
    <x v="0"/>
    <x v="5"/>
  </r>
  <r>
    <x v="1"/>
    <m/>
    <n v="117328"/>
    <s v="Kirk Wagner"/>
    <d v="2020-08-26T00:00:00"/>
    <d v="2022-04-30T00:00:00"/>
    <x v="1"/>
    <x v="1"/>
    <x v="0"/>
    <d v="2021-02-09T00:00:00"/>
    <s v="Married"/>
    <x v="1"/>
    <x v="1"/>
    <n v="4.8"/>
    <x v="0"/>
    <x v="5"/>
  </r>
  <r>
    <x v="0"/>
    <m/>
    <n v="110646"/>
    <s v="Zackary Tucker"/>
    <d v="2020-09-01T00:00:00"/>
    <m/>
    <x v="6"/>
    <x v="1"/>
    <x v="0"/>
    <d v="2021-01-20T00:00:00"/>
    <s v="Married"/>
    <x v="1"/>
    <x v="3"/>
    <n v="9"/>
    <x v="0"/>
    <x v="5"/>
  </r>
  <r>
    <x v="0"/>
    <m/>
    <n v="114446"/>
    <s v="Roberto Ford"/>
    <d v="2020-09-01T00:00:00"/>
    <m/>
    <x v="2"/>
    <x v="1"/>
    <x v="0"/>
    <d v="2021-11-24T00:00:00"/>
    <s v="Married"/>
    <x v="3"/>
    <x v="3"/>
    <n v="8"/>
    <x v="0"/>
    <x v="5"/>
  </r>
  <r>
    <x v="0"/>
    <m/>
    <n v="189125"/>
    <s v="Sadie Mcmahon"/>
    <d v="2020-09-01T00:00:00"/>
    <m/>
    <x v="0"/>
    <x v="1"/>
    <x v="0"/>
    <d v="2021-11-04T00:00:00"/>
    <s v="Married"/>
    <x v="3"/>
    <x v="1"/>
    <n v="17"/>
    <x v="0"/>
    <x v="5"/>
  </r>
  <r>
    <x v="0"/>
    <s v="IJP"/>
    <n v="183930"/>
    <s v="Darla Parks"/>
    <d v="2020-09-01T00:00:00"/>
    <m/>
    <x v="0"/>
    <x v="1"/>
    <x v="0"/>
    <d v="2021-04-23T00:00:00"/>
    <s v="Married"/>
    <x v="3"/>
    <x v="6"/>
    <n v="13"/>
    <x v="0"/>
    <x v="5"/>
  </r>
  <r>
    <x v="0"/>
    <m/>
    <n v="110730"/>
    <s v="Darryl Leon"/>
    <d v="2020-09-01T00:00:00"/>
    <m/>
    <x v="3"/>
    <x v="1"/>
    <x v="0"/>
    <d v="2021-04-21T00:00:00"/>
    <s v="Single"/>
    <x v="3"/>
    <x v="3"/>
    <n v="13"/>
    <x v="0"/>
    <x v="5"/>
  </r>
  <r>
    <x v="0"/>
    <m/>
    <n v="131079"/>
    <s v="Letitia Church"/>
    <d v="2020-09-01T00:00:00"/>
    <m/>
    <x v="4"/>
    <x v="1"/>
    <x v="0"/>
    <d v="2021-12-31T00:00:00"/>
    <s v="Single"/>
    <x v="3"/>
    <x v="1"/>
    <n v="13"/>
    <x v="0"/>
    <x v="5"/>
  </r>
  <r>
    <x v="0"/>
    <m/>
    <n v="180612"/>
    <s v="Collin Paul"/>
    <d v="2020-09-01T00:00:00"/>
    <m/>
    <x v="5"/>
    <x v="1"/>
    <x v="1"/>
    <d v="2021-05-27T00:00:00"/>
    <s v="Single"/>
    <x v="2"/>
    <x v="6"/>
    <n v="0"/>
    <x v="0"/>
    <x v="5"/>
  </r>
  <r>
    <x v="1"/>
    <m/>
    <n v="154702"/>
    <s v="Frances Leblanc"/>
    <d v="2020-09-09T00:00:00"/>
    <d v="2024-01-20T00:00:00"/>
    <x v="1"/>
    <x v="1"/>
    <x v="1"/>
    <d v="2021-11-07T00:00:00"/>
    <s v="Married"/>
    <x v="2"/>
    <x v="1"/>
    <n v="0"/>
    <x v="0"/>
    <x v="5"/>
  </r>
  <r>
    <x v="0"/>
    <m/>
    <n v="101286"/>
    <s v="Alexis Conway"/>
    <d v="2020-09-09T00:00:00"/>
    <m/>
    <x v="1"/>
    <x v="1"/>
    <x v="0"/>
    <d v="2021-03-14T00:00:00"/>
    <s v="Single"/>
    <x v="3"/>
    <x v="2"/>
    <n v="14"/>
    <x v="0"/>
    <x v="5"/>
  </r>
  <r>
    <x v="1"/>
    <m/>
    <n v="137383"/>
    <s v="Roberta Moyer"/>
    <d v="2020-09-16T00:00:00"/>
    <d v="2021-03-03T00:00:00"/>
    <x v="6"/>
    <x v="1"/>
    <x v="0"/>
    <d v="2021-01-24T00:00:00"/>
    <s v="Single"/>
    <x v="3"/>
    <x v="1"/>
    <n v="9"/>
    <x v="0"/>
    <x v="5"/>
  </r>
  <r>
    <x v="1"/>
    <m/>
    <n v="185704"/>
    <s v="Alejandra Mack"/>
    <d v="2020-09-16T00:00:00"/>
    <d v="2021-07-18T00:00:00"/>
    <x v="5"/>
    <x v="1"/>
    <x v="0"/>
    <d v="2021-12-06T00:00:00"/>
    <s v="Single"/>
    <x v="2"/>
    <x v="4"/>
    <n v="0"/>
    <x v="2"/>
    <x v="5"/>
  </r>
  <r>
    <x v="1"/>
    <m/>
    <n v="151727"/>
    <s v="Chi Preston"/>
    <d v="2020-09-16T00:00:00"/>
    <d v="2023-06-29T00:00:00"/>
    <x v="5"/>
    <x v="1"/>
    <x v="0"/>
    <d v="2021-02-03T00:00:00"/>
    <s v="Single"/>
    <x v="2"/>
    <x v="4"/>
    <n v="0"/>
    <x v="2"/>
    <x v="5"/>
  </r>
  <r>
    <x v="1"/>
    <m/>
    <n v="135167"/>
    <s v="Randolph Reilly"/>
    <d v="2020-09-16T00:00:00"/>
    <d v="2023-09-26T00:00:00"/>
    <x v="5"/>
    <x v="1"/>
    <x v="0"/>
    <d v="2021-03-28T00:00:00"/>
    <s v="Single"/>
    <x v="2"/>
    <x v="4"/>
    <n v="0"/>
    <x v="2"/>
    <x v="5"/>
  </r>
  <r>
    <x v="1"/>
    <m/>
    <n v="100971"/>
    <s v="Howard Wiggins"/>
    <d v="2020-09-16T00:00:00"/>
    <d v="2023-12-23T00:00:00"/>
    <x v="5"/>
    <x v="1"/>
    <x v="0"/>
    <d v="2021-09-08T00:00:00"/>
    <s v="Single"/>
    <x v="2"/>
    <x v="4"/>
    <n v="0"/>
    <x v="2"/>
    <x v="5"/>
  </r>
  <r>
    <x v="1"/>
    <m/>
    <n v="145787"/>
    <s v="Palmer Hart"/>
    <d v="2020-09-16T00:00:00"/>
    <d v="2024-01-27T00:00:00"/>
    <x v="5"/>
    <x v="1"/>
    <x v="1"/>
    <d v="2021-10-14T00:00:00"/>
    <s v="Married"/>
    <x v="2"/>
    <x v="4"/>
    <n v="0"/>
    <x v="2"/>
    <x v="5"/>
  </r>
  <r>
    <x v="1"/>
    <m/>
    <n v="170924"/>
    <s v="Lesa Terrell"/>
    <d v="2020-09-16T00:00:00"/>
    <d v="2024-03-17T00:00:00"/>
    <x v="2"/>
    <x v="1"/>
    <x v="0"/>
    <d v="2021-10-01T00:00:00"/>
    <s v="Single"/>
    <x v="2"/>
    <x v="4"/>
    <n v="0"/>
    <x v="2"/>
    <x v="5"/>
  </r>
  <r>
    <x v="1"/>
    <m/>
    <n v="129573"/>
    <s v="Celeste Moses"/>
    <d v="2020-09-16T00:00:00"/>
    <d v="2024-09-29T00:00:00"/>
    <x v="0"/>
    <x v="1"/>
    <x v="1"/>
    <d v="2021-09-16T00:00:00"/>
    <s v="Single"/>
    <x v="1"/>
    <x v="4"/>
    <n v="0"/>
    <x v="2"/>
    <x v="5"/>
  </r>
  <r>
    <x v="0"/>
    <m/>
    <n v="115742"/>
    <s v="Leanne Mosley"/>
    <d v="2020-09-16T00:00:00"/>
    <m/>
    <x v="0"/>
    <x v="1"/>
    <x v="1"/>
    <d v="2021-09-23T00:00:00"/>
    <s v="Single"/>
    <x v="1"/>
    <x v="4"/>
    <n v="0"/>
    <x v="2"/>
    <x v="5"/>
  </r>
  <r>
    <x v="0"/>
    <m/>
    <n v="126064"/>
    <s v="Renaldo Navarro"/>
    <d v="2020-09-16T00:00:00"/>
    <m/>
    <x v="0"/>
    <x v="1"/>
    <x v="1"/>
    <d v="2021-05-30T00:00:00"/>
    <s v="Single"/>
    <x v="1"/>
    <x v="4"/>
    <n v="0"/>
    <x v="2"/>
    <x v="5"/>
  </r>
  <r>
    <x v="0"/>
    <m/>
    <n v="173140"/>
    <s v="Sonia Ortiz"/>
    <d v="2020-09-16T00:00:00"/>
    <m/>
    <x v="2"/>
    <x v="1"/>
    <x v="0"/>
    <d v="2021-07-13T00:00:00"/>
    <s v="Single"/>
    <x v="1"/>
    <x v="4"/>
    <n v="0"/>
    <x v="2"/>
    <x v="5"/>
  </r>
  <r>
    <x v="1"/>
    <m/>
    <n v="181592"/>
    <s v="Faith Lopez"/>
    <d v="2020-10-16T00:00:00"/>
    <d v="2024-02-03T00:00:00"/>
    <x v="2"/>
    <x v="1"/>
    <x v="0"/>
    <d v="2021-01-24T00:00:00"/>
    <s v="Married"/>
    <x v="3"/>
    <x v="4"/>
    <n v="12"/>
    <x v="2"/>
    <x v="5"/>
  </r>
  <r>
    <x v="1"/>
    <m/>
    <n v="144158"/>
    <s v="Kim Ramirez"/>
    <d v="2020-11-28T00:00:00"/>
    <d v="2023-03-31T00:00:00"/>
    <x v="4"/>
    <x v="1"/>
    <x v="0"/>
    <d v="2021-04-10T00:00:00"/>
    <s v="Married"/>
    <x v="1"/>
    <x v="6"/>
    <n v="6"/>
    <x v="2"/>
    <x v="5"/>
  </r>
  <r>
    <x v="0"/>
    <m/>
    <n v="178955"/>
    <s v="Mariana Chavez"/>
    <d v="2020-12-02T00:00:00"/>
    <m/>
    <x v="2"/>
    <x v="1"/>
    <x v="0"/>
    <d v="2021-03-18T00:00:00"/>
    <s v="Single"/>
    <x v="1"/>
    <x v="6"/>
    <n v="8"/>
    <x v="2"/>
    <x v="5"/>
  </r>
  <r>
    <x v="1"/>
    <m/>
    <n v="110616"/>
    <s v="Tracey Burch"/>
    <d v="2020-12-21T00:00:00"/>
    <d v="2022-03-31T00:00:00"/>
    <x v="4"/>
    <x v="1"/>
    <x v="0"/>
    <d v="2021-01-20T00:00:00"/>
    <s v="Married"/>
    <x v="1"/>
    <x v="3"/>
    <n v="9"/>
    <x v="2"/>
    <x v="5"/>
  </r>
  <r>
    <x v="1"/>
    <m/>
    <n v="120981"/>
    <s v="Gabriela Juarez"/>
    <d v="2020-12-26T00:00:00"/>
    <d v="2023-07-01T00:00:00"/>
    <x v="4"/>
    <x v="1"/>
    <x v="1"/>
    <d v="2021-07-22T00:00:00"/>
    <s v="Single"/>
    <x v="2"/>
    <x v="1"/>
    <n v="0"/>
    <x v="2"/>
    <x v="5"/>
  </r>
  <r>
    <x v="1"/>
    <m/>
    <n v="140182"/>
    <s v="Katheryn Trevino"/>
    <d v="2021-01-22T00:00:00"/>
    <d v="2022-03-15T00:00:00"/>
    <x v="5"/>
    <x v="1"/>
    <x v="1"/>
    <d v="2021-02-08T00:00:00"/>
    <s v="Single"/>
    <x v="2"/>
    <x v="1"/>
    <n v="0"/>
    <x v="2"/>
    <x v="5"/>
  </r>
  <r>
    <x v="1"/>
    <m/>
    <n v="174057"/>
    <s v="Angelita Townsend"/>
    <d v="2021-01-22T00:00:00"/>
    <d v="2023-02-08T00:00:00"/>
    <x v="5"/>
    <x v="1"/>
    <x v="0"/>
    <d v="2021-11-11T00:00:00"/>
    <s v="Married"/>
    <x v="1"/>
    <x v="1"/>
    <n v="6"/>
    <x v="2"/>
    <x v="5"/>
  </r>
  <r>
    <x v="1"/>
    <m/>
    <n v="124194"/>
    <s v="Damon Burgess"/>
    <d v="2021-01-29T00:00:00"/>
    <d v="2022-03-10T00:00:00"/>
    <x v="0"/>
    <x v="1"/>
    <x v="0"/>
    <d v="2021-01-25T00:00:00"/>
    <s v="Married"/>
    <x v="3"/>
    <x v="6"/>
    <n v="13"/>
    <x v="5"/>
    <x v="5"/>
  </r>
  <r>
    <x v="1"/>
    <m/>
    <n v="185420"/>
    <s v="Olen Watts"/>
    <d v="2021-02-19T00:00:00"/>
    <d v="2023-09-30T00:00:00"/>
    <x v="3"/>
    <x v="1"/>
    <x v="0"/>
    <d v="2021-06-24T00:00:00"/>
    <s v="Married"/>
    <x v="1"/>
    <x v="2"/>
    <n v="5"/>
    <x v="5"/>
    <x v="5"/>
  </r>
  <r>
    <x v="1"/>
    <m/>
    <n v="184945"/>
    <s v="Raymond Levine"/>
    <d v="2021-02-24T00:00:00"/>
    <d v="2022-07-06T00:00:00"/>
    <x v="0"/>
    <x v="1"/>
    <x v="0"/>
    <d v="2021-09-27T00:00:00"/>
    <s v="Married"/>
    <x v="1"/>
    <x v="6"/>
    <n v="10"/>
    <x v="5"/>
    <x v="5"/>
  </r>
  <r>
    <x v="0"/>
    <m/>
    <n v="129852"/>
    <s v="Sally Hinton"/>
    <d v="2021-03-02T00:00:00"/>
    <m/>
    <x v="5"/>
    <x v="1"/>
    <x v="0"/>
    <d v="2021-01-04T00:00:00"/>
    <s v="Single"/>
    <x v="3"/>
    <x v="1"/>
    <n v="10"/>
    <x v="5"/>
    <x v="5"/>
  </r>
  <r>
    <x v="1"/>
    <m/>
    <n v="139272"/>
    <s v="Katelyn Ware"/>
    <d v="2021-03-09T00:00:00"/>
    <d v="2023-06-30T00:00:00"/>
    <x v="4"/>
    <x v="1"/>
    <x v="1"/>
    <d v="2021-06-16T00:00:00"/>
    <s v="Married"/>
    <x v="1"/>
    <x v="1"/>
    <n v="8"/>
    <x v="5"/>
    <x v="5"/>
  </r>
  <r>
    <x v="0"/>
    <m/>
    <n v="194976"/>
    <s v="Jessie Bowen"/>
    <d v="2021-03-16T00:00:00"/>
    <m/>
    <x v="5"/>
    <x v="1"/>
    <x v="1"/>
    <d v="2021-01-04T00:00:00"/>
    <s v="Single"/>
    <x v="1"/>
    <x v="1"/>
    <n v="3.5"/>
    <x v="5"/>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F366C0-EF7D-423E-9348-9BBF46EC4351}" name="PivotTable3" cacheId="22"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M5:N10"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4" showAll="0"/>
    <pivotField showAll="0"/>
    <pivotField showAll="0">
      <items count="8">
        <item x="1"/>
        <item x="3"/>
        <item x="6"/>
        <item x="5"/>
        <item x="2"/>
        <item x="4"/>
        <item x="0"/>
        <item t="default"/>
      </items>
    </pivotField>
    <pivotField showAll="0"/>
    <pivotField showAll="0"/>
    <pivotField numFmtId="165" showAll="0"/>
    <pivotField showAll="0"/>
    <pivotField axis="axisRow" showAll="0">
      <items count="5">
        <item x="0"/>
        <item x="3"/>
        <item x="2"/>
        <item x="1"/>
        <item t="default"/>
      </items>
    </pivotField>
    <pivotField showAll="0">
      <items count="8">
        <item x="6"/>
        <item x="3"/>
        <item x="4"/>
        <item x="2"/>
        <item x="0"/>
        <item x="1"/>
        <item x="5"/>
        <item t="default"/>
      </items>
    </pivotField>
    <pivotField showAll="0"/>
    <pivotField showAll="0"/>
    <pivotField showAll="0"/>
  </pivotFields>
  <rowFields count="1">
    <field x="11"/>
  </rowFields>
  <rowItems count="5">
    <i>
      <x/>
    </i>
    <i>
      <x v="1"/>
    </i>
    <i>
      <x v="2"/>
    </i>
    <i>
      <x v="3"/>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D9F4D2-25D0-4862-873E-D1990FB3EB89}" name="PivotTable5" cacheId="22"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Q3:R11"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4" showAll="0"/>
    <pivotField showAll="0"/>
    <pivotField showAll="0">
      <items count="8">
        <item x="1"/>
        <item x="3"/>
        <item x="6"/>
        <item x="5"/>
        <item x="2"/>
        <item x="4"/>
        <item x="0"/>
        <item t="default"/>
      </items>
    </pivotField>
    <pivotField showAll="0"/>
    <pivotField showAll="0"/>
    <pivotField numFmtId="165" showAll="0"/>
    <pivotField showAll="0"/>
    <pivotField showAll="0"/>
    <pivotField axis="axisRow" showAll="0">
      <items count="8">
        <item x="6"/>
        <item x="3"/>
        <item x="4"/>
        <item x="2"/>
        <item x="0"/>
        <item x="1"/>
        <item x="5"/>
        <item t="default"/>
      </items>
    </pivotField>
    <pivotField showAll="0"/>
    <pivotField showAll="0"/>
    <pivotField showAll="0"/>
  </pivotFields>
  <rowFields count="1">
    <field x="12"/>
  </rowFields>
  <rowItems count="8">
    <i>
      <x/>
    </i>
    <i>
      <x v="1"/>
    </i>
    <i>
      <x v="2"/>
    </i>
    <i>
      <x v="3"/>
    </i>
    <i>
      <x v="4"/>
    </i>
    <i>
      <x v="5"/>
    </i>
    <i>
      <x v="6"/>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0D6F195-8C1E-4725-9CC3-405C8BF3CC19}" name="PivotTable10" cacheId="22"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AA3:AB10"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4" showAll="0"/>
    <pivotField showAll="0"/>
    <pivotField showAll="0">
      <items count="8">
        <item x="1"/>
        <item x="3"/>
        <item x="6"/>
        <item x="5"/>
        <item x="2"/>
        <item x="4"/>
        <item x="0"/>
        <item t="default"/>
      </items>
    </pivotField>
    <pivotField showAll="0"/>
    <pivotField showAll="0"/>
    <pivotField numFmtId="165" showAll="0"/>
    <pivotField showAll="0"/>
    <pivotField showAll="0"/>
    <pivotField showAll="0">
      <items count="8">
        <item x="6"/>
        <item x="3"/>
        <item x="4"/>
        <item x="2"/>
        <item x="0"/>
        <item x="1"/>
        <item x="5"/>
        <item t="default"/>
      </items>
    </pivotField>
    <pivotField showAll="0"/>
    <pivotField showAll="0"/>
    <pivotField axis="axisRow" showAll="0" sortType="descending">
      <items count="7">
        <item x="5"/>
        <item x="4"/>
        <item x="3"/>
        <item x="2"/>
        <item x="0"/>
        <item x="1"/>
        <item t="default"/>
      </items>
    </pivotField>
  </pivotFields>
  <rowFields count="1">
    <field x="15"/>
  </rowFields>
  <rowItems count="7">
    <i>
      <x/>
    </i>
    <i>
      <x v="1"/>
    </i>
    <i>
      <x v="2"/>
    </i>
    <i>
      <x v="3"/>
    </i>
    <i>
      <x v="4"/>
    </i>
    <i>
      <x v="5"/>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C9B031-0397-45FE-A81D-CA29AA48BF7A}" name="PivotTable2" cacheId="22"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J5:K8"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4" showAll="0"/>
    <pivotField showAll="0"/>
    <pivotField showAll="0">
      <items count="8">
        <item x="1"/>
        <item x="3"/>
        <item x="6"/>
        <item x="5"/>
        <item x="2"/>
        <item x="4"/>
        <item x="0"/>
        <item t="default"/>
      </items>
    </pivotField>
    <pivotField showAll="0"/>
    <pivotField axis="axisRow" showAll="0">
      <items count="3">
        <item x="1"/>
        <item x="0"/>
        <item t="default"/>
      </items>
    </pivotField>
    <pivotField numFmtId="165" showAll="0"/>
    <pivotField showAll="0"/>
    <pivotField showAll="0"/>
    <pivotField showAll="0">
      <items count="8">
        <item x="6"/>
        <item x="3"/>
        <item x="4"/>
        <item x="2"/>
        <item x="0"/>
        <item x="1"/>
        <item x="5"/>
        <item t="default"/>
      </items>
    </pivotField>
    <pivotField showAll="0"/>
    <pivotField showAll="0"/>
    <pivotField showAll="0"/>
  </pivotFields>
  <rowFields count="1">
    <field x="8"/>
  </rowFields>
  <rowItems count="3">
    <i>
      <x/>
    </i>
    <i>
      <x v="1"/>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BCDAE3F-9A45-440E-B923-695458052A73}" name="PivotTable4" cacheId="22"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U3:V11"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4" showAll="0"/>
    <pivotField showAll="0"/>
    <pivotField axis="axisRow" showAll="0" sortType="descending">
      <items count="8">
        <item x="0"/>
        <item x="4"/>
        <item x="2"/>
        <item x="5"/>
        <item x="6"/>
        <item x="3"/>
        <item x="1"/>
        <item t="default"/>
      </items>
      <autoSortScope>
        <pivotArea dataOnly="0" outline="0" fieldPosition="0">
          <references count="1">
            <reference field="4294967294" count="1" selected="0">
              <x v="0"/>
            </reference>
          </references>
        </pivotArea>
      </autoSortScope>
    </pivotField>
    <pivotField showAll="0"/>
    <pivotField showAll="0"/>
    <pivotField numFmtId="165" showAll="0"/>
    <pivotField showAll="0"/>
    <pivotField showAll="0"/>
    <pivotField showAll="0">
      <items count="8">
        <item x="6"/>
        <item x="3"/>
        <item x="4"/>
        <item x="2"/>
        <item x="0"/>
        <item x="1"/>
        <item x="5"/>
        <item t="default"/>
      </items>
    </pivotField>
    <pivotField showAll="0"/>
    <pivotField showAll="0"/>
    <pivotField showAll="0"/>
  </pivotFields>
  <rowFields count="1">
    <field x="6"/>
  </rowFields>
  <rowItems count="8">
    <i>
      <x/>
    </i>
    <i>
      <x v="3"/>
    </i>
    <i>
      <x v="1"/>
    </i>
    <i>
      <x v="6"/>
    </i>
    <i>
      <x v="5"/>
    </i>
    <i>
      <x v="2"/>
    </i>
    <i>
      <x v="4"/>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6F4114-38C9-4E66-A1EE-8256E8552506}" name="PivotTable9" cacheId="22"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X3:Y6"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4" showAll="0"/>
    <pivotField showAll="0"/>
    <pivotField showAll="0">
      <items count="8">
        <item x="1"/>
        <item x="3"/>
        <item x="6"/>
        <item x="5"/>
        <item x="2"/>
        <item x="4"/>
        <item x="0"/>
        <item t="default"/>
      </items>
    </pivotField>
    <pivotField axis="axisRow" showAll="0">
      <items count="3">
        <item x="0"/>
        <item x="1"/>
        <item t="default"/>
      </items>
    </pivotField>
    <pivotField showAll="0"/>
    <pivotField numFmtId="165" showAll="0"/>
    <pivotField showAll="0"/>
    <pivotField showAll="0"/>
    <pivotField showAll="0">
      <items count="8">
        <item x="6"/>
        <item x="3"/>
        <item x="4"/>
        <item x="2"/>
        <item x="0"/>
        <item x="1"/>
        <item x="5"/>
        <item t="default"/>
      </items>
    </pivotField>
    <pivotField showAll="0"/>
    <pivotField showAll="0"/>
    <pivotField showAll="0"/>
  </pivotFields>
  <rowFields count="1">
    <field x="7"/>
  </rowFields>
  <rowItems count="3">
    <i>
      <x/>
    </i>
    <i>
      <x v="1"/>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806E29C-9FB0-4B36-A2D3-5BCEA78D2C14}" name="PivotTable1" cacheId="22" applyNumberFormats="0" applyBorderFormats="0" applyFontFormats="0" applyPatternFormats="0" applyAlignmentFormats="0" applyWidthHeightFormats="1" dataCaption="Values" grandTotalCaption="Total" updatedVersion="8" minRefreshableVersion="3" itemPrintTitles="1" createdVersion="8" indent="0" outline="1" outlineData="1" multipleFieldFilters="0">
  <location ref="D3:H11" firstHeaderRow="1" firstDataRow="2" firstDataCol="1"/>
  <pivotFields count="16">
    <pivotField axis="axisCol" showAll="0">
      <items count="4">
        <item x="1"/>
        <item x="0"/>
        <item x="2"/>
        <item t="default"/>
      </items>
    </pivotField>
    <pivotField showAll="0"/>
    <pivotField showAll="0"/>
    <pivotField dataField="1" showAll="0"/>
    <pivotField numFmtId="164" showAll="0"/>
    <pivotField showAll="0"/>
    <pivotField showAll="0">
      <items count="8">
        <item x="1"/>
        <item x="3"/>
        <item x="6"/>
        <item x="5"/>
        <item x="2"/>
        <item x="4"/>
        <item x="0"/>
        <item t="default"/>
      </items>
    </pivotField>
    <pivotField showAll="0"/>
    <pivotField showAll="0"/>
    <pivotField numFmtId="165" showAll="0"/>
    <pivotField showAll="0"/>
    <pivotField showAll="0"/>
    <pivotField showAll="0">
      <items count="8">
        <item x="6"/>
        <item x="3"/>
        <item x="4"/>
        <item x="2"/>
        <item x="0"/>
        <item x="1"/>
        <item x="5"/>
        <item t="default"/>
      </items>
    </pivotField>
    <pivotField showAll="0"/>
    <pivotField axis="axisRow" showAll="0">
      <items count="7">
        <item x="3"/>
        <item x="1"/>
        <item x="5"/>
        <item x="0"/>
        <item x="2"/>
        <item x="4"/>
        <item t="default"/>
      </items>
    </pivotField>
    <pivotField showAll="0"/>
  </pivotFields>
  <rowFields count="1">
    <field x="14"/>
  </rowFields>
  <rowItems count="7">
    <i>
      <x/>
    </i>
    <i>
      <x v="1"/>
    </i>
    <i>
      <x v="2"/>
    </i>
    <i>
      <x v="3"/>
    </i>
    <i>
      <x v="4"/>
    </i>
    <i>
      <x v="5"/>
    </i>
    <i t="grand">
      <x/>
    </i>
  </rowItems>
  <colFields count="1">
    <field x="0"/>
  </colFields>
  <colItems count="4">
    <i>
      <x/>
    </i>
    <i>
      <x v="1"/>
    </i>
    <i>
      <x v="2"/>
    </i>
    <i t="grand">
      <x/>
    </i>
  </colItem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ing_Manager" xr10:uid="{323281D9-7FB0-4AAC-B305-A8FD97C35456}" sourceName="Reporting Manager">
  <pivotTables>
    <pivotTable tabId="3" name="PivotTable5"/>
    <pivotTable tabId="3" name="PivotTable1"/>
    <pivotTable tabId="3" name="PivotTable10"/>
    <pivotTable tabId="3" name="PivotTable2"/>
    <pivotTable tabId="3" name="PivotTable3"/>
    <pivotTable tabId="3" name="PivotTable4"/>
    <pivotTable tabId="3" name="PivotTable9"/>
  </pivotTables>
  <data>
    <tabular pivotCacheId="1573550010">
      <items count="7">
        <i x="1" s="1"/>
        <i x="3" s="1"/>
        <i x="6" s="1"/>
        <i x="5" s="1"/>
        <i x="2"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B266D761-25A0-4FED-ACB5-463756B72FA8}" sourceName="Department">
  <pivotTables>
    <pivotTable tabId="3" name="PivotTable5"/>
    <pivotTable tabId="3" name="PivotTable1"/>
    <pivotTable tabId="3" name="PivotTable10"/>
    <pivotTable tabId="3" name="PivotTable2"/>
    <pivotTable tabId="3" name="PivotTable3"/>
    <pivotTable tabId="3" name="PivotTable4"/>
    <pivotTable tabId="3" name="PivotTable9"/>
  </pivotTables>
  <data>
    <tabular pivotCacheId="1573550010">
      <items count="7">
        <i x="6" s="1"/>
        <i x="3" s="1"/>
        <i x="4" s="1"/>
        <i x="2" s="1"/>
        <i x="0" s="1"/>
        <i x="1"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porting Manager" xr10:uid="{1DCFCEE8-E8C5-4790-998F-7D8D050E8211}" cache="Slicer_Reporting_Manager" caption="Reporting Manager" style="SlicerStyleLight6" rowHeight="257175"/>
  <slicer name="Department" xr10:uid="{8E88249F-9554-4FC9-95F4-03C2076B97F8}" cache="Slicer_Department" caption="Department" style="SlicerStyleLight6"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hyperlink" Target="mailto:vijay.patil@otis.com" TargetMode="External"/><Relationship Id="rId2" Type="http://schemas.openxmlformats.org/officeDocument/2006/relationships/hyperlink" Target="mailto:Ishwarya.S@otis.com" TargetMode="External"/><Relationship Id="rId1" Type="http://schemas.openxmlformats.org/officeDocument/2006/relationships/hyperlink" Target="mailto:Prashantha.S@oti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D4CF8-FDDE-4389-BE91-C8FE21ED2856}">
  <sheetPr codeName="Sheet1">
    <tabColor theme="4" tint="-0.249977111117893"/>
  </sheetPr>
  <dimension ref="A2"/>
  <sheetViews>
    <sheetView showGridLines="0" tabSelected="1" zoomScaleNormal="100" workbookViewId="0">
      <selection activeCell="Y9" sqref="Y9"/>
    </sheetView>
  </sheetViews>
  <sheetFormatPr defaultRowHeight="15" x14ac:dyDescent="0.25"/>
  <sheetData>
    <row r="2" ht="14.25"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FC9B7-DE61-45D0-B043-63409F090AC6}">
  <sheetPr codeName="Sheet2"/>
  <dimension ref="A1:AC22"/>
  <sheetViews>
    <sheetView showGridLines="0" topLeftCell="I3" zoomScale="96" zoomScaleNormal="96" workbookViewId="0">
      <selection activeCell="U26" sqref="U26"/>
    </sheetView>
  </sheetViews>
  <sheetFormatPr defaultRowHeight="15" x14ac:dyDescent="0.25"/>
  <cols>
    <col min="1" max="1" width="16.140625" bestFit="1" customWidth="1"/>
    <col min="3" max="3" width="1.42578125" customWidth="1"/>
    <col min="4" max="4" width="8.7109375" customWidth="1"/>
    <col min="5" max="5" width="11" customWidth="1"/>
    <col min="6" max="6" width="9.28515625" customWidth="1"/>
    <col min="7" max="7" width="8.42578125" bestFit="1" customWidth="1"/>
    <col min="8" max="8" width="7.28515625" customWidth="1"/>
    <col min="9" max="9" width="5.28515625" customWidth="1"/>
    <col min="10" max="10" width="8.5703125" customWidth="1"/>
    <col min="11" max="11" width="8.7109375" customWidth="1"/>
    <col min="12" max="12" width="2.7109375" customWidth="1"/>
    <col min="16" max="16" width="1.42578125" customWidth="1"/>
    <col min="19" max="19" width="5.85546875" bestFit="1" customWidth="1"/>
    <col min="20" max="20" width="1.42578125" customWidth="1"/>
    <col min="22" max="22" width="9.5703125" customWidth="1"/>
    <col min="23" max="23" width="1.7109375" customWidth="1"/>
    <col min="24" max="24" width="8.7109375" customWidth="1"/>
    <col min="25" max="25" width="5.85546875" customWidth="1"/>
    <col min="26" max="26" width="6" customWidth="1"/>
  </cols>
  <sheetData>
    <row r="1" spans="1:29" x14ac:dyDescent="0.25">
      <c r="Q1" s="12" t="s">
        <v>0</v>
      </c>
      <c r="R1" t="s">
        <v>16</v>
      </c>
      <c r="U1" s="12" t="s">
        <v>0</v>
      </c>
      <c r="V1" t="s">
        <v>16</v>
      </c>
      <c r="X1" s="12" t="s">
        <v>0</v>
      </c>
      <c r="Y1" t="s">
        <v>16</v>
      </c>
      <c r="AA1" s="12" t="s">
        <v>0</v>
      </c>
      <c r="AB1" t="s">
        <v>16</v>
      </c>
    </row>
    <row r="3" spans="1:29" x14ac:dyDescent="0.25">
      <c r="D3" s="12" t="s">
        <v>234</v>
      </c>
      <c r="E3" s="12" t="s">
        <v>235</v>
      </c>
      <c r="J3" s="12" t="s">
        <v>0</v>
      </c>
      <c r="K3" t="s">
        <v>16</v>
      </c>
      <c r="M3" s="12" t="s">
        <v>0</v>
      </c>
      <c r="N3" t="s">
        <v>16</v>
      </c>
      <c r="Q3" s="12" t="s">
        <v>233</v>
      </c>
      <c r="R3" t="s">
        <v>234</v>
      </c>
      <c r="U3" s="12" t="s">
        <v>233</v>
      </c>
      <c r="V3" t="s">
        <v>234</v>
      </c>
      <c r="X3" s="12" t="s">
        <v>233</v>
      </c>
      <c r="Y3" t="s">
        <v>234</v>
      </c>
      <c r="AA3" s="12" t="s">
        <v>233</v>
      </c>
      <c r="AB3" t="s">
        <v>234</v>
      </c>
    </row>
    <row r="4" spans="1:29" x14ac:dyDescent="0.25">
      <c r="D4" s="12" t="s">
        <v>233</v>
      </c>
      <c r="E4" t="s">
        <v>25</v>
      </c>
      <c r="F4" t="s">
        <v>16</v>
      </c>
      <c r="G4" t="s">
        <v>136</v>
      </c>
      <c r="H4" t="s">
        <v>236</v>
      </c>
      <c r="Q4" s="13" t="s">
        <v>30</v>
      </c>
      <c r="R4" s="28">
        <v>9</v>
      </c>
      <c r="U4" s="13" t="s">
        <v>38</v>
      </c>
      <c r="V4" s="28">
        <v>42</v>
      </c>
      <c r="X4" s="13" t="s">
        <v>21</v>
      </c>
      <c r="Y4" s="28">
        <v>13</v>
      </c>
      <c r="AA4" s="13" t="s">
        <v>258</v>
      </c>
      <c r="AB4" s="28">
        <v>27</v>
      </c>
    </row>
    <row r="5" spans="1:29" x14ac:dyDescent="0.25">
      <c r="D5" s="13">
        <v>2020</v>
      </c>
      <c r="E5" s="28"/>
      <c r="F5" s="28">
        <v>43</v>
      </c>
      <c r="G5" s="28"/>
      <c r="H5" s="28">
        <v>43</v>
      </c>
      <c r="J5" s="12" t="s">
        <v>233</v>
      </c>
      <c r="K5" t="s">
        <v>234</v>
      </c>
      <c r="M5" s="12" t="s">
        <v>233</v>
      </c>
      <c r="N5" t="s">
        <v>234</v>
      </c>
      <c r="Q5" s="13" t="s">
        <v>44</v>
      </c>
      <c r="R5" s="28">
        <v>10</v>
      </c>
      <c r="U5" s="13" t="s">
        <v>57</v>
      </c>
      <c r="V5" s="28">
        <v>26</v>
      </c>
      <c r="X5" s="13" t="s">
        <v>86</v>
      </c>
      <c r="Y5" s="28">
        <v>105</v>
      </c>
      <c r="AA5" s="13" t="s">
        <v>257</v>
      </c>
      <c r="AB5" s="28">
        <v>17</v>
      </c>
    </row>
    <row r="6" spans="1:29" x14ac:dyDescent="0.25">
      <c r="D6" s="13">
        <v>2021</v>
      </c>
      <c r="E6" s="28">
        <v>6</v>
      </c>
      <c r="F6" s="28">
        <v>17</v>
      </c>
      <c r="G6" s="28">
        <v>2</v>
      </c>
      <c r="H6" s="28">
        <v>25</v>
      </c>
      <c r="J6" s="13" t="s">
        <v>39</v>
      </c>
      <c r="K6" s="28">
        <v>45</v>
      </c>
      <c r="M6" s="13" t="s">
        <v>21</v>
      </c>
      <c r="N6" s="28">
        <v>13</v>
      </c>
      <c r="Q6" s="13" t="s">
        <v>49</v>
      </c>
      <c r="R6" s="28">
        <v>25</v>
      </c>
      <c r="U6" s="13" t="s">
        <v>20</v>
      </c>
      <c r="V6" s="28">
        <v>18</v>
      </c>
      <c r="X6" s="13" t="s">
        <v>236</v>
      </c>
      <c r="Y6" s="28">
        <v>118</v>
      </c>
      <c r="AA6" s="13" t="s">
        <v>256</v>
      </c>
      <c r="AB6" s="28">
        <v>13</v>
      </c>
    </row>
    <row r="7" spans="1:29" x14ac:dyDescent="0.25">
      <c r="D7" s="13">
        <v>2022</v>
      </c>
      <c r="E7" s="28">
        <v>9</v>
      </c>
      <c r="F7" s="28">
        <v>20</v>
      </c>
      <c r="G7" s="28">
        <v>4</v>
      </c>
      <c r="H7" s="28">
        <v>33</v>
      </c>
      <c r="J7" s="13" t="s">
        <v>22</v>
      </c>
      <c r="K7" s="28">
        <v>73</v>
      </c>
      <c r="M7" s="13" t="s">
        <v>89</v>
      </c>
      <c r="N7" s="28">
        <v>21</v>
      </c>
      <c r="Q7" s="13" t="s">
        <v>35</v>
      </c>
      <c r="R7" s="28">
        <v>11</v>
      </c>
      <c r="U7" s="13" t="s">
        <v>65</v>
      </c>
      <c r="V7" s="28">
        <v>12</v>
      </c>
      <c r="AA7" s="13" t="s">
        <v>255</v>
      </c>
      <c r="AB7" s="28">
        <v>46</v>
      </c>
    </row>
    <row r="8" spans="1:29" x14ac:dyDescent="0.25">
      <c r="D8" s="13">
        <v>2023</v>
      </c>
      <c r="E8" s="28">
        <v>9</v>
      </c>
      <c r="F8" s="28">
        <v>26</v>
      </c>
      <c r="G8" s="28"/>
      <c r="H8" s="28">
        <v>35</v>
      </c>
      <c r="J8" s="13" t="s">
        <v>236</v>
      </c>
      <c r="K8" s="28">
        <v>118</v>
      </c>
      <c r="M8" s="13" t="s">
        <v>97</v>
      </c>
      <c r="N8" s="28">
        <v>43</v>
      </c>
      <c r="Q8" s="13" t="s">
        <v>40</v>
      </c>
      <c r="R8" s="28">
        <v>15</v>
      </c>
      <c r="U8" s="13" t="s">
        <v>43</v>
      </c>
      <c r="V8" s="28">
        <v>9</v>
      </c>
      <c r="AA8" s="13" t="s">
        <v>254</v>
      </c>
      <c r="AB8" s="28">
        <v>13</v>
      </c>
    </row>
    <row r="9" spans="1:29" x14ac:dyDescent="0.25">
      <c r="D9" s="13">
        <v>2024</v>
      </c>
      <c r="E9" s="28">
        <v>17</v>
      </c>
      <c r="F9" s="28">
        <v>8</v>
      </c>
      <c r="G9" s="28"/>
      <c r="H9" s="28">
        <v>25</v>
      </c>
      <c r="M9" s="13" t="s">
        <v>29</v>
      </c>
      <c r="N9" s="28">
        <v>41</v>
      </c>
      <c r="Q9" s="13" t="s">
        <v>24</v>
      </c>
      <c r="R9" s="28">
        <v>27</v>
      </c>
      <c r="U9" s="13" t="s">
        <v>80</v>
      </c>
      <c r="V9" s="28">
        <v>7</v>
      </c>
      <c r="AA9" s="13" t="s">
        <v>253</v>
      </c>
      <c r="AB9" s="28">
        <v>2</v>
      </c>
    </row>
    <row r="10" spans="1:29" x14ac:dyDescent="0.25">
      <c r="D10" s="13">
        <v>2025</v>
      </c>
      <c r="E10" s="28">
        <v>6</v>
      </c>
      <c r="F10" s="28">
        <v>4</v>
      </c>
      <c r="G10" s="28"/>
      <c r="H10" s="28">
        <v>10</v>
      </c>
      <c r="M10" s="13" t="s">
        <v>236</v>
      </c>
      <c r="N10" s="28">
        <v>118</v>
      </c>
      <c r="Q10" s="13" t="s">
        <v>62</v>
      </c>
      <c r="R10" s="28">
        <v>21</v>
      </c>
      <c r="U10" s="13" t="s">
        <v>52</v>
      </c>
      <c r="V10" s="28">
        <v>4</v>
      </c>
      <c r="AA10" s="13" t="s">
        <v>236</v>
      </c>
      <c r="AB10" s="28">
        <v>118</v>
      </c>
    </row>
    <row r="11" spans="1:29" x14ac:dyDescent="0.25">
      <c r="D11" s="13" t="s">
        <v>236</v>
      </c>
      <c r="E11" s="28">
        <v>47</v>
      </c>
      <c r="F11" s="28">
        <v>118</v>
      </c>
      <c r="G11" s="28">
        <v>6</v>
      </c>
      <c r="H11" s="28">
        <v>171</v>
      </c>
      <c r="Q11" s="13" t="s">
        <v>236</v>
      </c>
      <c r="R11" s="28">
        <v>118</v>
      </c>
      <c r="U11" s="13" t="s">
        <v>236</v>
      </c>
      <c r="V11" s="28">
        <v>118</v>
      </c>
    </row>
    <row r="12" spans="1:29" x14ac:dyDescent="0.25">
      <c r="K12" s="13"/>
    </row>
    <row r="13" spans="1:29" x14ac:dyDescent="0.25">
      <c r="K13" s="13"/>
    </row>
    <row r="14" spans="1:29" x14ac:dyDescent="0.25">
      <c r="A14" s="21" t="s">
        <v>237</v>
      </c>
      <c r="B14" s="21" t="s">
        <v>238</v>
      </c>
      <c r="C14" s="21"/>
      <c r="D14" s="21" t="s">
        <v>231</v>
      </c>
      <c r="E14" s="21" t="s">
        <v>25</v>
      </c>
      <c r="F14" s="21" t="s">
        <v>16</v>
      </c>
      <c r="G14" s="21" t="s">
        <v>136</v>
      </c>
      <c r="H14" s="21" t="s">
        <v>261</v>
      </c>
      <c r="I14" s="21" t="s">
        <v>244</v>
      </c>
      <c r="J14" s="21" t="s">
        <v>245</v>
      </c>
      <c r="K14" s="21" t="s">
        <v>246</v>
      </c>
      <c r="M14" s="21" t="s">
        <v>249</v>
      </c>
      <c r="N14" s="21" t="s">
        <v>247</v>
      </c>
      <c r="O14" s="21" t="s">
        <v>248</v>
      </c>
      <c r="Q14" s="21" t="s">
        <v>250</v>
      </c>
      <c r="R14" s="21" t="s">
        <v>247</v>
      </c>
      <c r="S14" s="21" t="s">
        <v>248</v>
      </c>
      <c r="U14" s="21" t="s">
        <v>251</v>
      </c>
      <c r="V14" s="21" t="s">
        <v>247</v>
      </c>
      <c r="X14" s="22" t="s">
        <v>252</v>
      </c>
      <c r="Y14" s="22" t="s">
        <v>247</v>
      </c>
      <c r="Z14" s="22" t="s">
        <v>246</v>
      </c>
      <c r="AA14" s="21" t="s">
        <v>259</v>
      </c>
      <c r="AB14" s="21" t="s">
        <v>234</v>
      </c>
      <c r="AC14" s="26" t="s">
        <v>260</v>
      </c>
    </row>
    <row r="15" spans="1:29" x14ac:dyDescent="0.25">
      <c r="A15" t="s">
        <v>239</v>
      </c>
      <c r="B15">
        <f>GETPIVOTDATA("Name",$D$3)</f>
        <v>171</v>
      </c>
      <c r="D15" s="14">
        <v>2020</v>
      </c>
      <c r="E15" s="15">
        <f t="shared" ref="E15:E20" si="0">IFERROR(GETPIVOTDATA("Name",$D$3,"Emp Status","Attrition","Year",D15),0)</f>
        <v>0</v>
      </c>
      <c r="F15" s="15">
        <f t="shared" ref="F15:F20" si="1">IFERROR(GETPIVOTDATA("Name",$D$3,"Emp Status","On-Board","Year",D15),0)</f>
        <v>43</v>
      </c>
      <c r="G15" s="15">
        <f t="shared" ref="G15:G20" si="2">IFERROR(GETPIVOTDATA("Name",$D$3,"Emp Status","Transfer","Year",D15),0)</f>
        <v>0</v>
      </c>
      <c r="H15" s="15">
        <f>F15</f>
        <v>43</v>
      </c>
      <c r="I15" s="20" t="s">
        <v>39</v>
      </c>
      <c r="J15">
        <f>IFERROR(GETPIVOTDATA("Name",$J$5,"Category",I15),0)</f>
        <v>45</v>
      </c>
      <c r="K15" s="18">
        <f>J15/J17</f>
        <v>0.38135593220338981</v>
      </c>
      <c r="M15" s="14" t="s">
        <v>21</v>
      </c>
      <c r="N15" s="15">
        <f>IFERROR(GETPIVOTDATA("Name",$M$5,"Grade",M15),0)</f>
        <v>13</v>
      </c>
      <c r="O15" s="18">
        <f>N15/N19</f>
        <v>0.11016949152542373</v>
      </c>
      <c r="Q15" s="14" t="s">
        <v>30</v>
      </c>
      <c r="R15" s="15">
        <f t="shared" ref="R15:R21" si="3">IFERROR(GETPIVOTDATA("Name",$Q$3,"Department",Q15),0)</f>
        <v>9</v>
      </c>
      <c r="S15" s="18">
        <f>R15/R22</f>
        <v>7.6271186440677971E-2</v>
      </c>
      <c r="U15" s="14" t="s">
        <v>38</v>
      </c>
      <c r="V15" s="15">
        <f>IFERROR(GETPIVOTDATA("Name",$U$3,"Reporting Manager",U15),0)</f>
        <v>42</v>
      </c>
      <c r="X15" s="13" t="s">
        <v>232</v>
      </c>
      <c r="Y15">
        <f>IFERROR(GETPIVOTDATA("Name",$X$3,"Emp Type",X15),0)</f>
        <v>13</v>
      </c>
      <c r="Z15" s="18">
        <f>Y15/$Y$17</f>
        <v>0.11016949152542373</v>
      </c>
      <c r="AA15" s="14" t="s">
        <v>258</v>
      </c>
      <c r="AB15" s="15">
        <f t="shared" ref="AB15:AB20" si="4">IFERROR(GETPIVOTDATA("Name",$AA$3,"Stability",AA15),0)</f>
        <v>27</v>
      </c>
      <c r="AC15" s="18">
        <f>AB15/$AB$21</f>
        <v>0.2288135593220339</v>
      </c>
    </row>
    <row r="16" spans="1:29" x14ac:dyDescent="0.25">
      <c r="A16" t="s">
        <v>240</v>
      </c>
      <c r="B16">
        <f>F21</f>
        <v>118</v>
      </c>
      <c r="D16" s="14">
        <v>2021</v>
      </c>
      <c r="E16" s="15">
        <f t="shared" si="0"/>
        <v>6</v>
      </c>
      <c r="F16" s="15">
        <f t="shared" si="1"/>
        <v>17</v>
      </c>
      <c r="G16" s="15">
        <f t="shared" si="2"/>
        <v>2</v>
      </c>
      <c r="H16" s="15">
        <f>F16+H15</f>
        <v>60</v>
      </c>
      <c r="I16" t="s">
        <v>22</v>
      </c>
      <c r="J16">
        <f>IFERROR(GETPIVOTDATA("Name",$J$5,"Category",I16),0)</f>
        <v>73</v>
      </c>
      <c r="K16" s="18">
        <f>J16/J17</f>
        <v>0.61864406779661019</v>
      </c>
      <c r="M16" s="14" t="s">
        <v>29</v>
      </c>
      <c r="N16" s="15">
        <f>IFERROR(GETPIVOTDATA("Name",$M$5,"Grade",M16),0)</f>
        <v>41</v>
      </c>
      <c r="O16" s="18">
        <f>N16/N19</f>
        <v>0.34745762711864409</v>
      </c>
      <c r="Q16" s="14" t="s">
        <v>44</v>
      </c>
      <c r="R16" s="15">
        <f t="shared" si="3"/>
        <v>10</v>
      </c>
      <c r="S16" s="18">
        <f>R16/$R$22</f>
        <v>8.4745762711864403E-2</v>
      </c>
      <c r="U16" s="14" t="s">
        <v>57</v>
      </c>
      <c r="V16" s="15">
        <f t="shared" ref="V16:V21" si="5">IFERROR(GETPIVOTDATA("Name",$U$3,"Reporting Manager",U16),0)</f>
        <v>26</v>
      </c>
      <c r="X16" s="13" t="s">
        <v>86</v>
      </c>
      <c r="Y16">
        <f>IFERROR(GETPIVOTDATA("Name",$X$3,"Emp Type",X16),0)</f>
        <v>105</v>
      </c>
      <c r="Z16" s="18">
        <f>Y16/$Y$17</f>
        <v>0.88983050847457623</v>
      </c>
      <c r="AA16" s="14" t="s">
        <v>257</v>
      </c>
      <c r="AB16" s="15">
        <f t="shared" si="4"/>
        <v>17</v>
      </c>
      <c r="AC16" s="18">
        <f t="shared" ref="AC16:AC21" si="6">AB16/$AB$21</f>
        <v>0.1440677966101695</v>
      </c>
    </row>
    <row r="17" spans="1:29" x14ac:dyDescent="0.25">
      <c r="A17" t="s">
        <v>241</v>
      </c>
      <c r="B17">
        <f>E21</f>
        <v>47</v>
      </c>
      <c r="D17" s="14">
        <v>2022</v>
      </c>
      <c r="E17" s="15">
        <f t="shared" si="0"/>
        <v>9</v>
      </c>
      <c r="F17" s="15">
        <f t="shared" si="1"/>
        <v>20</v>
      </c>
      <c r="G17" s="15">
        <f t="shared" si="2"/>
        <v>4</v>
      </c>
      <c r="H17" s="15">
        <f>F17+H16</f>
        <v>80</v>
      </c>
      <c r="I17" s="21" t="s">
        <v>236</v>
      </c>
      <c r="J17" s="21">
        <f>SUM(J15:J16)</f>
        <v>118</v>
      </c>
      <c r="K17" s="21">
        <f>J17/J17</f>
        <v>1</v>
      </c>
      <c r="M17" s="14" t="s">
        <v>97</v>
      </c>
      <c r="N17" s="15">
        <f>IFERROR(GETPIVOTDATA("Name",$M$5,"Grade",M17),0)</f>
        <v>43</v>
      </c>
      <c r="O17" s="18">
        <f>N17/N19</f>
        <v>0.36440677966101692</v>
      </c>
      <c r="Q17" s="14" t="s">
        <v>49</v>
      </c>
      <c r="R17" s="15">
        <f t="shared" si="3"/>
        <v>25</v>
      </c>
      <c r="S17" s="18">
        <f t="shared" ref="S17:S22" si="7">R17/$R$22</f>
        <v>0.21186440677966101</v>
      </c>
      <c r="U17" s="14" t="s">
        <v>20</v>
      </c>
      <c r="V17" s="15">
        <f t="shared" si="5"/>
        <v>18</v>
      </c>
      <c r="X17" s="22" t="s">
        <v>236</v>
      </c>
      <c r="Y17" s="22">
        <f>SUM(Y15:Y16)</f>
        <v>118</v>
      </c>
      <c r="Z17" s="23">
        <f>Y17/$Y$17</f>
        <v>1</v>
      </c>
      <c r="AA17" s="14" t="s">
        <v>256</v>
      </c>
      <c r="AB17" s="15">
        <f t="shared" si="4"/>
        <v>13</v>
      </c>
      <c r="AC17" s="18">
        <f t="shared" si="6"/>
        <v>0.11016949152542373</v>
      </c>
    </row>
    <row r="18" spans="1:29" x14ac:dyDescent="0.25">
      <c r="A18" t="s">
        <v>242</v>
      </c>
      <c r="B18" s="18">
        <f>B17/B15</f>
        <v>0.27485380116959063</v>
      </c>
      <c r="D18" s="14">
        <v>2023</v>
      </c>
      <c r="E18" s="15">
        <f t="shared" si="0"/>
        <v>9</v>
      </c>
      <c r="F18" s="15">
        <f t="shared" si="1"/>
        <v>26</v>
      </c>
      <c r="G18" s="15">
        <f t="shared" si="2"/>
        <v>0</v>
      </c>
      <c r="H18" s="15">
        <f>F18+H17</f>
        <v>106</v>
      </c>
      <c r="M18" s="13" t="s">
        <v>89</v>
      </c>
      <c r="N18" s="15">
        <f>IFERROR(GETPIVOTDATA("Name",$M$5,"Grade",M18),0)</f>
        <v>21</v>
      </c>
      <c r="O18" s="18">
        <f>N18/N19</f>
        <v>0.17796610169491525</v>
      </c>
      <c r="Q18" s="14" t="s">
        <v>35</v>
      </c>
      <c r="R18" s="15">
        <f t="shared" si="3"/>
        <v>11</v>
      </c>
      <c r="S18" s="18">
        <f t="shared" si="7"/>
        <v>9.3220338983050849E-2</v>
      </c>
      <c r="U18" s="14" t="s">
        <v>65</v>
      </c>
      <c r="V18" s="15">
        <f t="shared" si="5"/>
        <v>12</v>
      </c>
      <c r="AA18" s="14" t="s">
        <v>255</v>
      </c>
      <c r="AB18" s="15">
        <f t="shared" si="4"/>
        <v>46</v>
      </c>
      <c r="AC18" s="18">
        <f t="shared" si="6"/>
        <v>0.38983050847457629</v>
      </c>
    </row>
    <row r="19" spans="1:29" x14ac:dyDescent="0.25">
      <c r="A19" t="s">
        <v>243</v>
      </c>
      <c r="B19" s="19">
        <f>G21</f>
        <v>6</v>
      </c>
      <c r="D19" s="14">
        <v>2024</v>
      </c>
      <c r="E19" s="15">
        <f t="shared" si="0"/>
        <v>17</v>
      </c>
      <c r="F19" s="15">
        <f t="shared" si="1"/>
        <v>8</v>
      </c>
      <c r="G19" s="15">
        <f t="shared" si="2"/>
        <v>0</v>
      </c>
      <c r="H19" s="15">
        <f>F19+H18</f>
        <v>114</v>
      </c>
      <c r="M19" s="21" t="s">
        <v>236</v>
      </c>
      <c r="N19" s="21">
        <f>SUM(N15:N18)</f>
        <v>118</v>
      </c>
      <c r="O19" s="21">
        <f>N19/N19</f>
        <v>1</v>
      </c>
      <c r="Q19" s="14" t="s">
        <v>40</v>
      </c>
      <c r="R19" s="15">
        <f t="shared" si="3"/>
        <v>15</v>
      </c>
      <c r="S19" s="18">
        <f t="shared" si="7"/>
        <v>0.1271186440677966</v>
      </c>
      <c r="U19" s="14" t="s">
        <v>43</v>
      </c>
      <c r="V19" s="15">
        <f t="shared" si="5"/>
        <v>9</v>
      </c>
      <c r="AA19" s="14" t="s">
        <v>254</v>
      </c>
      <c r="AB19" s="15">
        <f t="shared" si="4"/>
        <v>13</v>
      </c>
      <c r="AC19" s="18">
        <f t="shared" si="6"/>
        <v>0.11016949152542373</v>
      </c>
    </row>
    <row r="20" spans="1:29" x14ac:dyDescent="0.25">
      <c r="D20" s="14">
        <v>2025</v>
      </c>
      <c r="E20" s="15">
        <f t="shared" si="0"/>
        <v>6</v>
      </c>
      <c r="F20" s="15">
        <f t="shared" si="1"/>
        <v>4</v>
      </c>
      <c r="G20" s="15">
        <f t="shared" si="2"/>
        <v>0</v>
      </c>
      <c r="H20" s="15">
        <f>F20+H19</f>
        <v>118</v>
      </c>
      <c r="Q20" s="14" t="s">
        <v>24</v>
      </c>
      <c r="R20" s="15">
        <f t="shared" si="3"/>
        <v>27</v>
      </c>
      <c r="S20" s="18">
        <f t="shared" si="7"/>
        <v>0.2288135593220339</v>
      </c>
      <c r="U20" s="14" t="s">
        <v>80</v>
      </c>
      <c r="V20" s="15">
        <f t="shared" si="5"/>
        <v>7</v>
      </c>
      <c r="AA20" s="14" t="s">
        <v>253</v>
      </c>
      <c r="AB20" s="15">
        <f t="shared" si="4"/>
        <v>2</v>
      </c>
      <c r="AC20" s="18">
        <f t="shared" si="6"/>
        <v>1.6949152542372881E-2</v>
      </c>
    </row>
    <row r="21" spans="1:29" x14ac:dyDescent="0.25">
      <c r="D21" s="16" t="s">
        <v>236</v>
      </c>
      <c r="E21" s="17">
        <f>SUM(E15:E20)</f>
        <v>47</v>
      </c>
      <c r="F21" s="17">
        <f>SUM(F15:F20)</f>
        <v>118</v>
      </c>
      <c r="G21" s="17">
        <f>SUM(G15:G20)</f>
        <v>6</v>
      </c>
      <c r="H21" s="17">
        <f>H20</f>
        <v>118</v>
      </c>
      <c r="Q21" s="14" t="s">
        <v>62</v>
      </c>
      <c r="R21" s="15">
        <f t="shared" si="3"/>
        <v>21</v>
      </c>
      <c r="S21" s="18">
        <f t="shared" si="7"/>
        <v>0.17796610169491525</v>
      </c>
      <c r="U21" s="14" t="s">
        <v>52</v>
      </c>
      <c r="V21" s="15">
        <f t="shared" si="5"/>
        <v>4</v>
      </c>
      <c r="AA21" s="24" t="s">
        <v>236</v>
      </c>
      <c r="AB21" s="25">
        <f>SUM(AB15:AB20)</f>
        <v>118</v>
      </c>
      <c r="AC21" s="27">
        <f t="shared" si="6"/>
        <v>1</v>
      </c>
    </row>
    <row r="22" spans="1:29" x14ac:dyDescent="0.25">
      <c r="Q22" s="21" t="s">
        <v>236</v>
      </c>
      <c r="R22" s="21">
        <f>SUM(R15:R21)</f>
        <v>118</v>
      </c>
      <c r="S22" s="21">
        <f t="shared" si="7"/>
        <v>1</v>
      </c>
      <c r="U22" s="24" t="s">
        <v>236</v>
      </c>
      <c r="V22" s="25">
        <f>SUM(V15:V21)</f>
        <v>118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5E888-6FA6-4368-A4D2-2B51B2CD03BB}">
  <sheetPr codeName="Sheet3"/>
  <dimension ref="A1:S172"/>
  <sheetViews>
    <sheetView workbookViewId="0">
      <selection activeCell="H1" sqref="H1"/>
    </sheetView>
  </sheetViews>
  <sheetFormatPr defaultRowHeight="15" x14ac:dyDescent="0.25"/>
  <cols>
    <col min="7" max="7" width="13.28515625" customWidth="1"/>
    <col min="14" max="14" width="8" customWidth="1"/>
    <col min="20" max="20" width="19" bestFit="1" customWidth="1"/>
  </cols>
  <sheetData>
    <row r="1" spans="1:19" ht="40.5" x14ac:dyDescent="0.25">
      <c r="A1" s="10" t="s">
        <v>0</v>
      </c>
      <c r="B1" s="10" t="s">
        <v>1</v>
      </c>
      <c r="C1" s="10" t="s">
        <v>2</v>
      </c>
      <c r="D1" s="10" t="s">
        <v>3</v>
      </c>
      <c r="E1" s="10" t="s">
        <v>4</v>
      </c>
      <c r="F1" s="10" t="s">
        <v>5</v>
      </c>
      <c r="G1" s="10" t="s">
        <v>6</v>
      </c>
      <c r="H1" s="10" t="s">
        <v>7</v>
      </c>
      <c r="I1" s="10" t="s">
        <v>8</v>
      </c>
      <c r="J1" s="10" t="s">
        <v>9</v>
      </c>
      <c r="K1" s="10" t="s">
        <v>10</v>
      </c>
      <c r="L1" s="10" t="s">
        <v>11</v>
      </c>
      <c r="M1" s="11" t="s">
        <v>12</v>
      </c>
      <c r="N1" s="10" t="s">
        <v>13</v>
      </c>
      <c r="O1" s="10" t="s">
        <v>14</v>
      </c>
      <c r="P1" s="10" t="s">
        <v>15</v>
      </c>
      <c r="S1" s="8"/>
    </row>
    <row r="2" spans="1:19" x14ac:dyDescent="0.25">
      <c r="A2" s="1" t="s">
        <v>16</v>
      </c>
      <c r="B2" s="1"/>
      <c r="C2" s="2" t="s">
        <v>83</v>
      </c>
      <c r="D2" s="3" t="s">
        <v>84</v>
      </c>
      <c r="E2" s="4">
        <v>45775</v>
      </c>
      <c r="F2" s="4"/>
      <c r="G2" s="5" t="s">
        <v>38</v>
      </c>
      <c r="H2" s="2" t="s">
        <v>21</v>
      </c>
      <c r="I2" s="2" t="s">
        <v>22</v>
      </c>
      <c r="J2" s="6">
        <v>44536</v>
      </c>
      <c r="K2" s="6" t="s">
        <v>28</v>
      </c>
      <c r="L2" s="3" t="s">
        <v>21</v>
      </c>
      <c r="M2" s="3" t="s">
        <v>40</v>
      </c>
      <c r="N2" s="3">
        <v>8</v>
      </c>
      <c r="O2" s="7">
        <f>YEAR('Data sheet'!$E24)</f>
        <v>2023</v>
      </c>
      <c r="P2" s="7" t="str">
        <f t="shared" ref="P2:P33" ca="1" si="0">IF(DATEDIF(E2,TODAY(),"Y")&gt;=5,"5+ years",
IF(DATEDIF(E2,TODAY(),"Y")&gt;=4,"4+ years",
IF(DATEDIF(E2,TODAY(),"Y")&gt;=3,"3+ years",
IF(DATEDIF(E2,TODAY(),"Y")&gt;=2,"2+ years",
IF(DATEDIF(E2,TODAY(),"Y")&gt;=1,"1+ years","&lt;1 year")))))</f>
        <v>1+ years</v>
      </c>
      <c r="S2" s="9"/>
    </row>
    <row r="3" spans="1:19" x14ac:dyDescent="0.25">
      <c r="A3" s="1" t="s">
        <v>16</v>
      </c>
      <c r="B3" s="1"/>
      <c r="C3" s="2">
        <v>137966</v>
      </c>
      <c r="D3" s="3" t="s">
        <v>229</v>
      </c>
      <c r="E3" s="4">
        <v>45852</v>
      </c>
      <c r="F3" s="4"/>
      <c r="G3" s="5" t="s">
        <v>38</v>
      </c>
      <c r="H3" s="2" t="s">
        <v>86</v>
      </c>
      <c r="I3" s="2" t="s">
        <v>22</v>
      </c>
      <c r="J3" s="6">
        <v>44507</v>
      </c>
      <c r="K3" s="6" t="s">
        <v>28</v>
      </c>
      <c r="L3" s="3" t="s">
        <v>29</v>
      </c>
      <c r="M3" s="3" t="s">
        <v>24</v>
      </c>
      <c r="N3" s="3">
        <v>9</v>
      </c>
      <c r="O3" s="7">
        <f>YEAR('Data sheet'!$E171)</f>
        <v>2021</v>
      </c>
      <c r="P3" s="7" t="str">
        <f t="shared" ca="1" si="0"/>
        <v>&lt;1 year</v>
      </c>
      <c r="S3" s="9"/>
    </row>
    <row r="4" spans="1:19" x14ac:dyDescent="0.25">
      <c r="A4" s="1" t="s">
        <v>16</v>
      </c>
      <c r="B4" s="1"/>
      <c r="C4" s="2">
        <v>146341</v>
      </c>
      <c r="D4" s="3" t="s">
        <v>230</v>
      </c>
      <c r="E4" s="4">
        <v>45857</v>
      </c>
      <c r="F4" s="4"/>
      <c r="G4" s="5" t="s">
        <v>38</v>
      </c>
      <c r="H4" s="2" t="s">
        <v>86</v>
      </c>
      <c r="I4" s="2" t="s">
        <v>39</v>
      </c>
      <c r="J4" s="6">
        <v>44220</v>
      </c>
      <c r="K4" s="6" t="s">
        <v>28</v>
      </c>
      <c r="L4" s="3" t="s">
        <v>29</v>
      </c>
      <c r="M4" s="3" t="s">
        <v>24</v>
      </c>
      <c r="N4" s="3">
        <v>13</v>
      </c>
      <c r="O4" s="7">
        <f>YEAR('Data sheet'!$E172)</f>
        <v>2021</v>
      </c>
      <c r="P4" s="7" t="str">
        <f t="shared" ca="1" si="0"/>
        <v>&lt;1 year</v>
      </c>
      <c r="S4" s="9"/>
    </row>
    <row r="5" spans="1:19" x14ac:dyDescent="0.25">
      <c r="A5" s="1" t="s">
        <v>16</v>
      </c>
      <c r="B5" s="1"/>
      <c r="C5" s="2" t="s">
        <v>76</v>
      </c>
      <c r="D5" s="3" t="s">
        <v>77</v>
      </c>
      <c r="E5" s="4">
        <v>45444</v>
      </c>
      <c r="F5" s="4"/>
      <c r="G5" s="5" t="s">
        <v>65</v>
      </c>
      <c r="H5" s="2" t="s">
        <v>21</v>
      </c>
      <c r="I5" s="2" t="s">
        <v>39</v>
      </c>
      <c r="J5" s="6">
        <v>44898</v>
      </c>
      <c r="K5" s="6" t="s">
        <v>28</v>
      </c>
      <c r="L5" s="3" t="s">
        <v>21</v>
      </c>
      <c r="M5" s="3" t="s">
        <v>35</v>
      </c>
      <c r="N5" s="3">
        <v>4</v>
      </c>
      <c r="O5" s="7">
        <f>YEAR('Data sheet'!$E21)</f>
        <v>2024</v>
      </c>
      <c r="P5" s="7" t="str">
        <f t="shared" ca="1" si="0"/>
        <v>1+ years</v>
      </c>
      <c r="S5" s="9"/>
    </row>
    <row r="6" spans="1:19" x14ac:dyDescent="0.25">
      <c r="A6" s="1" t="s">
        <v>16</v>
      </c>
      <c r="B6" s="1"/>
      <c r="C6" s="2" t="s">
        <v>78</v>
      </c>
      <c r="D6" s="3" t="s">
        <v>79</v>
      </c>
      <c r="E6" s="4">
        <v>45662</v>
      </c>
      <c r="F6" s="4"/>
      <c r="G6" s="3" t="s">
        <v>80</v>
      </c>
      <c r="H6" s="2" t="s">
        <v>21</v>
      </c>
      <c r="I6" s="2" t="s">
        <v>39</v>
      </c>
      <c r="J6" s="6">
        <v>44338</v>
      </c>
      <c r="K6" s="6" t="s">
        <v>28</v>
      </c>
      <c r="L6" s="3" t="s">
        <v>21</v>
      </c>
      <c r="M6" s="3" t="s">
        <v>44</v>
      </c>
      <c r="N6" s="3">
        <v>4.8</v>
      </c>
      <c r="O6" s="7">
        <f>YEAR('Data sheet'!$E22)</f>
        <v>2024</v>
      </c>
      <c r="P6" s="7" t="str">
        <f t="shared" ca="1" si="0"/>
        <v>1+ years</v>
      </c>
      <c r="S6" s="9"/>
    </row>
    <row r="7" spans="1:19" x14ac:dyDescent="0.25">
      <c r="A7" s="1" t="s">
        <v>16</v>
      </c>
      <c r="B7" s="1"/>
      <c r="C7" s="2" t="s">
        <v>81</v>
      </c>
      <c r="D7" s="3" t="s">
        <v>82</v>
      </c>
      <c r="E7" s="4">
        <v>45671</v>
      </c>
      <c r="F7" s="4"/>
      <c r="G7" s="3" t="s">
        <v>80</v>
      </c>
      <c r="H7" s="2" t="s">
        <v>21</v>
      </c>
      <c r="I7" s="2" t="s">
        <v>22</v>
      </c>
      <c r="J7" s="6">
        <v>44236</v>
      </c>
      <c r="K7" s="6" t="s">
        <v>23</v>
      </c>
      <c r="L7" s="3" t="s">
        <v>21</v>
      </c>
      <c r="M7" s="3" t="s">
        <v>24</v>
      </c>
      <c r="N7" s="3">
        <v>9</v>
      </c>
      <c r="O7" s="7">
        <f>YEAR('Data sheet'!$E23)</f>
        <v>2023</v>
      </c>
      <c r="P7" s="7" t="str">
        <f t="shared" ca="1" si="0"/>
        <v>1+ years</v>
      </c>
      <c r="S7" s="9"/>
    </row>
    <row r="8" spans="1:19" x14ac:dyDescent="0.25">
      <c r="A8" s="1" t="s">
        <v>16</v>
      </c>
      <c r="B8" s="1"/>
      <c r="C8" s="2">
        <v>158773</v>
      </c>
      <c r="D8" s="3" t="s">
        <v>220</v>
      </c>
      <c r="E8" s="4">
        <v>45427</v>
      </c>
      <c r="F8" s="4"/>
      <c r="G8" s="3" t="s">
        <v>43</v>
      </c>
      <c r="H8" s="2" t="s">
        <v>86</v>
      </c>
      <c r="I8" s="2" t="s">
        <v>22</v>
      </c>
      <c r="J8" s="6">
        <v>45073</v>
      </c>
      <c r="K8" s="6" t="s">
        <v>23</v>
      </c>
      <c r="L8" s="3" t="s">
        <v>97</v>
      </c>
      <c r="M8" s="3" t="s">
        <v>40</v>
      </c>
      <c r="N8" s="3">
        <v>3</v>
      </c>
      <c r="O8" s="7">
        <f>YEAR('Data sheet'!$E161)</f>
        <v>2020</v>
      </c>
      <c r="P8" s="7" t="str">
        <f t="shared" ca="1" si="0"/>
        <v>1+ years</v>
      </c>
      <c r="S8" s="9"/>
    </row>
    <row r="9" spans="1:19" x14ac:dyDescent="0.25">
      <c r="A9" s="1" t="s">
        <v>16</v>
      </c>
      <c r="B9" s="1"/>
      <c r="C9" s="2">
        <v>109333</v>
      </c>
      <c r="D9" s="3" t="s">
        <v>221</v>
      </c>
      <c r="E9" s="4">
        <v>45434</v>
      </c>
      <c r="F9" s="4"/>
      <c r="G9" s="5" t="s">
        <v>38</v>
      </c>
      <c r="H9" s="2" t="s">
        <v>86</v>
      </c>
      <c r="I9" s="2" t="s">
        <v>22</v>
      </c>
      <c r="J9" s="6">
        <v>45142</v>
      </c>
      <c r="K9" s="6" t="s">
        <v>28</v>
      </c>
      <c r="L9" s="3" t="s">
        <v>29</v>
      </c>
      <c r="M9" s="3" t="s">
        <v>35</v>
      </c>
      <c r="N9" s="3">
        <v>10</v>
      </c>
      <c r="O9" s="7">
        <f>YEAR('Data sheet'!$E162)</f>
        <v>2020</v>
      </c>
      <c r="P9" s="7" t="str">
        <f t="shared" ca="1" si="0"/>
        <v>1+ years</v>
      </c>
      <c r="S9" s="9"/>
    </row>
    <row r="10" spans="1:19" x14ac:dyDescent="0.25">
      <c r="A10" s="1" t="s">
        <v>16</v>
      </c>
      <c r="B10" s="1"/>
      <c r="C10" s="2">
        <v>165233</v>
      </c>
      <c r="D10" s="3" t="s">
        <v>222</v>
      </c>
      <c r="E10" s="4">
        <v>45455</v>
      </c>
      <c r="F10" s="4"/>
      <c r="G10" s="5" t="s">
        <v>38</v>
      </c>
      <c r="H10" s="2" t="s">
        <v>86</v>
      </c>
      <c r="I10" s="2" t="s">
        <v>22</v>
      </c>
      <c r="J10" s="6">
        <v>45022</v>
      </c>
      <c r="K10" s="6" t="s">
        <v>23</v>
      </c>
      <c r="L10" s="3" t="s">
        <v>97</v>
      </c>
      <c r="M10" s="3" t="s">
        <v>40</v>
      </c>
      <c r="N10" s="3">
        <v>1.2</v>
      </c>
      <c r="O10" s="7">
        <f>YEAR('Data sheet'!$E163)</f>
        <v>2020</v>
      </c>
      <c r="P10" s="7" t="str">
        <f t="shared" ca="1" si="0"/>
        <v>1+ years</v>
      </c>
      <c r="S10" s="9"/>
    </row>
    <row r="11" spans="1:19" x14ac:dyDescent="0.25">
      <c r="A11" s="1" t="s">
        <v>16</v>
      </c>
      <c r="B11" s="1" t="s">
        <v>133</v>
      </c>
      <c r="C11" s="2">
        <v>103360</v>
      </c>
      <c r="D11" s="3" t="s">
        <v>223</v>
      </c>
      <c r="E11" s="4">
        <v>45569</v>
      </c>
      <c r="F11" s="4"/>
      <c r="G11" s="5" t="s">
        <v>38</v>
      </c>
      <c r="H11" s="2" t="s">
        <v>86</v>
      </c>
      <c r="I11" s="2" t="s">
        <v>39</v>
      </c>
      <c r="J11" s="6">
        <v>36982</v>
      </c>
      <c r="K11" s="6" t="s">
        <v>23</v>
      </c>
      <c r="L11" s="3" t="s">
        <v>97</v>
      </c>
      <c r="M11" s="3" t="s">
        <v>49</v>
      </c>
      <c r="N11" s="3">
        <v>0.11</v>
      </c>
      <c r="O11" s="7">
        <f>YEAR('Data sheet'!$E164)</f>
        <v>2020</v>
      </c>
      <c r="P11" s="7" t="str">
        <f t="shared" ca="1" si="0"/>
        <v>1+ years</v>
      </c>
      <c r="S11" s="9"/>
    </row>
    <row r="12" spans="1:19" x14ac:dyDescent="0.25">
      <c r="A12" s="1" t="s">
        <v>16</v>
      </c>
      <c r="B12" s="1"/>
      <c r="C12" s="2">
        <v>168841</v>
      </c>
      <c r="D12" s="3" t="s">
        <v>80</v>
      </c>
      <c r="E12" s="4">
        <v>45569</v>
      </c>
      <c r="F12" s="4"/>
      <c r="G12" s="5" t="s">
        <v>38</v>
      </c>
      <c r="H12" s="2" t="s">
        <v>86</v>
      </c>
      <c r="I12" s="2" t="s">
        <v>22</v>
      </c>
      <c r="J12" s="6">
        <v>29954</v>
      </c>
      <c r="K12" s="6" t="s">
        <v>28</v>
      </c>
      <c r="L12" s="3" t="s">
        <v>89</v>
      </c>
      <c r="M12" s="3" t="s">
        <v>62</v>
      </c>
      <c r="N12" s="3">
        <v>19</v>
      </c>
      <c r="O12" s="7">
        <f>YEAR('Data sheet'!$E165)</f>
        <v>2021</v>
      </c>
      <c r="P12" s="7" t="str">
        <f t="shared" ca="1" si="0"/>
        <v>1+ years</v>
      </c>
      <c r="S12" s="9"/>
    </row>
    <row r="13" spans="1:19" x14ac:dyDescent="0.25">
      <c r="A13" s="1" t="s">
        <v>25</v>
      </c>
      <c r="B13" s="1"/>
      <c r="C13" s="2">
        <v>123680</v>
      </c>
      <c r="D13" s="3" t="s">
        <v>224</v>
      </c>
      <c r="E13" s="4">
        <v>45658</v>
      </c>
      <c r="F13" s="4"/>
      <c r="G13" s="3" t="s">
        <v>80</v>
      </c>
      <c r="H13" s="2" t="s">
        <v>86</v>
      </c>
      <c r="I13" s="2" t="s">
        <v>39</v>
      </c>
      <c r="J13" s="6">
        <v>44211</v>
      </c>
      <c r="K13" s="6" t="s">
        <v>23</v>
      </c>
      <c r="L13" s="3" t="s">
        <v>97</v>
      </c>
      <c r="M13" s="3" t="s">
        <v>24</v>
      </c>
      <c r="N13" s="3">
        <v>0</v>
      </c>
      <c r="O13" s="7">
        <f>YEAR('Data sheet'!$E166)</f>
        <v>2021</v>
      </c>
      <c r="P13" s="7" t="str">
        <f t="shared" ca="1" si="0"/>
        <v>1+ years</v>
      </c>
      <c r="S13" s="9"/>
    </row>
    <row r="14" spans="1:19" x14ac:dyDescent="0.25">
      <c r="A14" s="1" t="s">
        <v>16</v>
      </c>
      <c r="B14" s="1"/>
      <c r="C14" s="2">
        <v>136555</v>
      </c>
      <c r="D14" s="3" t="s">
        <v>225</v>
      </c>
      <c r="E14" s="4">
        <v>45662</v>
      </c>
      <c r="F14" s="4"/>
      <c r="G14" s="3" t="s">
        <v>80</v>
      </c>
      <c r="H14" s="2" t="s">
        <v>86</v>
      </c>
      <c r="I14" s="2" t="s">
        <v>22</v>
      </c>
      <c r="J14" s="6">
        <v>44472</v>
      </c>
      <c r="K14" s="6" t="s">
        <v>28</v>
      </c>
      <c r="L14" s="3" t="s">
        <v>89</v>
      </c>
      <c r="M14" s="3" t="s">
        <v>30</v>
      </c>
      <c r="N14" s="3">
        <v>5</v>
      </c>
      <c r="O14" s="7">
        <f>YEAR('Data sheet'!$E167)</f>
        <v>2021</v>
      </c>
      <c r="P14" s="7" t="str">
        <f t="shared" ca="1" si="0"/>
        <v>1+ years</v>
      </c>
      <c r="S14" s="9"/>
    </row>
    <row r="15" spans="1:19" x14ac:dyDescent="0.25">
      <c r="A15" s="1" t="s">
        <v>16</v>
      </c>
      <c r="B15" s="1"/>
      <c r="C15" s="2">
        <v>109886</v>
      </c>
      <c r="D15" s="3" t="s">
        <v>226</v>
      </c>
      <c r="E15" s="4">
        <v>45664</v>
      </c>
      <c r="F15" s="4"/>
      <c r="G15" s="3" t="s">
        <v>80</v>
      </c>
      <c r="H15" s="2" t="s">
        <v>86</v>
      </c>
      <c r="I15" s="2" t="s">
        <v>39</v>
      </c>
      <c r="J15" s="6">
        <v>44540</v>
      </c>
      <c r="K15" s="6" t="s">
        <v>28</v>
      </c>
      <c r="L15" s="3" t="s">
        <v>89</v>
      </c>
      <c r="M15" s="3" t="s">
        <v>24</v>
      </c>
      <c r="N15" s="3">
        <v>14</v>
      </c>
      <c r="O15" s="7">
        <f>YEAR('Data sheet'!$E168)</f>
        <v>2021</v>
      </c>
      <c r="P15" s="7" t="str">
        <f t="shared" ca="1" si="0"/>
        <v>1+ years</v>
      </c>
      <c r="S15" s="9"/>
    </row>
    <row r="16" spans="1:19" x14ac:dyDescent="0.25">
      <c r="A16" s="1" t="s">
        <v>16</v>
      </c>
      <c r="B16" s="1"/>
      <c r="C16" s="2">
        <v>135596</v>
      </c>
      <c r="D16" s="3" t="s">
        <v>227</v>
      </c>
      <c r="E16" s="4">
        <v>45671</v>
      </c>
      <c r="F16" s="4"/>
      <c r="G16" s="3" t="s">
        <v>43</v>
      </c>
      <c r="H16" s="2" t="s">
        <v>86</v>
      </c>
      <c r="I16" s="2" t="s">
        <v>22</v>
      </c>
      <c r="J16" s="6">
        <v>44269</v>
      </c>
      <c r="K16" s="6" t="s">
        <v>23</v>
      </c>
      <c r="L16" s="3" t="s">
        <v>29</v>
      </c>
      <c r="M16" s="3" t="s">
        <v>24</v>
      </c>
      <c r="N16" s="3">
        <v>0</v>
      </c>
      <c r="O16" s="7">
        <f>YEAR('Data sheet'!$E169)</f>
        <v>2021</v>
      </c>
      <c r="P16" s="7" t="str">
        <f t="shared" ca="1" si="0"/>
        <v>1+ years</v>
      </c>
      <c r="S16" s="9"/>
    </row>
    <row r="17" spans="1:19" x14ac:dyDescent="0.25">
      <c r="A17" s="1" t="s">
        <v>16</v>
      </c>
      <c r="B17" s="1"/>
      <c r="C17" s="2">
        <v>102045</v>
      </c>
      <c r="D17" s="3" t="s">
        <v>228</v>
      </c>
      <c r="E17" s="4">
        <v>45720</v>
      </c>
      <c r="F17" s="4"/>
      <c r="G17" s="5" t="s">
        <v>38</v>
      </c>
      <c r="H17" s="2" t="s">
        <v>86</v>
      </c>
      <c r="I17" s="2" t="s">
        <v>39</v>
      </c>
      <c r="J17" s="6">
        <v>44216</v>
      </c>
      <c r="K17" s="6" t="s">
        <v>23</v>
      </c>
      <c r="L17" s="3" t="s">
        <v>89</v>
      </c>
      <c r="M17" s="3" t="s">
        <v>30</v>
      </c>
      <c r="N17" s="3">
        <v>17</v>
      </c>
      <c r="O17" s="7">
        <f>YEAR('Data sheet'!$E170)</f>
        <v>2021</v>
      </c>
      <c r="P17" s="7" t="str">
        <f t="shared" ca="1" si="0"/>
        <v>1+ years</v>
      </c>
      <c r="S17" s="9"/>
    </row>
    <row r="18" spans="1:19" x14ac:dyDescent="0.25">
      <c r="A18" s="1" t="s">
        <v>25</v>
      </c>
      <c r="B18" s="1"/>
      <c r="C18" s="2" t="s">
        <v>66</v>
      </c>
      <c r="D18" s="3" t="s">
        <v>67</v>
      </c>
      <c r="E18" s="4">
        <v>45083</v>
      </c>
      <c r="F18" s="4">
        <v>45415</v>
      </c>
      <c r="G18" s="5" t="s">
        <v>65</v>
      </c>
      <c r="H18" s="2" t="s">
        <v>21</v>
      </c>
      <c r="I18" s="2" t="s">
        <v>39</v>
      </c>
      <c r="J18" s="6">
        <v>44620</v>
      </c>
      <c r="K18" s="6" t="s">
        <v>23</v>
      </c>
      <c r="L18" s="3" t="s">
        <v>21</v>
      </c>
      <c r="M18" s="3" t="s">
        <v>49</v>
      </c>
      <c r="N18" s="3">
        <v>0.1</v>
      </c>
      <c r="O18" s="7">
        <f>YEAR('Data sheet'!$E16)</f>
        <v>2025</v>
      </c>
      <c r="P18" s="7" t="str">
        <f t="shared" ca="1" si="0"/>
        <v>2+ years</v>
      </c>
      <c r="S18" s="9"/>
    </row>
    <row r="19" spans="1:19" x14ac:dyDescent="0.25">
      <c r="A19" s="1" t="s">
        <v>16</v>
      </c>
      <c r="B19" s="1"/>
      <c r="C19" s="2" t="s">
        <v>68</v>
      </c>
      <c r="D19" s="3" t="s">
        <v>69</v>
      </c>
      <c r="E19" s="4">
        <v>45218</v>
      </c>
      <c r="F19" s="4"/>
      <c r="G19" s="5" t="s">
        <v>65</v>
      </c>
      <c r="H19" s="2" t="s">
        <v>21</v>
      </c>
      <c r="I19" s="2" t="s">
        <v>39</v>
      </c>
      <c r="J19" s="6">
        <v>44830</v>
      </c>
      <c r="K19" s="6" t="s">
        <v>23</v>
      </c>
      <c r="L19" s="3" t="s">
        <v>21</v>
      </c>
      <c r="M19" s="3" t="s">
        <v>49</v>
      </c>
      <c r="N19" s="3">
        <v>0</v>
      </c>
      <c r="O19" s="7">
        <f>YEAR('Data sheet'!$E17)</f>
        <v>2025</v>
      </c>
      <c r="P19" s="7" t="str">
        <f t="shared" ca="1" si="0"/>
        <v>2+ years</v>
      </c>
      <c r="S19" s="9"/>
    </row>
    <row r="20" spans="1:19" x14ac:dyDescent="0.25">
      <c r="A20" s="1" t="s">
        <v>16</v>
      </c>
      <c r="B20" s="1"/>
      <c r="C20" s="2" t="s">
        <v>70</v>
      </c>
      <c r="D20" s="3" t="s">
        <v>71</v>
      </c>
      <c r="E20" s="4">
        <v>45274</v>
      </c>
      <c r="F20" s="4"/>
      <c r="G20" s="5" t="s">
        <v>65</v>
      </c>
      <c r="H20" s="2" t="s">
        <v>21</v>
      </c>
      <c r="I20" s="2" t="s">
        <v>39</v>
      </c>
      <c r="J20" s="6">
        <v>44877</v>
      </c>
      <c r="K20" s="6" t="s">
        <v>23</v>
      </c>
      <c r="L20" s="3" t="s">
        <v>21</v>
      </c>
      <c r="M20" s="3" t="s">
        <v>35</v>
      </c>
      <c r="N20" s="3">
        <v>4</v>
      </c>
      <c r="O20" s="7">
        <f>YEAR('Data sheet'!$E18)</f>
        <v>2023</v>
      </c>
      <c r="P20" s="7" t="str">
        <f t="shared" ca="1" si="0"/>
        <v>2+ years</v>
      </c>
      <c r="S20" s="9"/>
    </row>
    <row r="21" spans="1:19" x14ac:dyDescent="0.25">
      <c r="A21" s="1" t="s">
        <v>16</v>
      </c>
      <c r="B21" s="1"/>
      <c r="C21" s="2" t="s">
        <v>72</v>
      </c>
      <c r="D21" s="3" t="s">
        <v>73</v>
      </c>
      <c r="E21" s="4">
        <v>45328</v>
      </c>
      <c r="F21" s="4"/>
      <c r="G21" s="5" t="s">
        <v>20</v>
      </c>
      <c r="H21" s="2" t="s">
        <v>21</v>
      </c>
      <c r="I21" s="2" t="s">
        <v>22</v>
      </c>
      <c r="J21" s="6">
        <v>44558</v>
      </c>
      <c r="K21" s="6" t="s">
        <v>23</v>
      </c>
      <c r="L21" s="3" t="s">
        <v>21</v>
      </c>
      <c r="M21" s="3" t="s">
        <v>49</v>
      </c>
      <c r="N21" s="3">
        <v>0</v>
      </c>
      <c r="O21" s="7">
        <f>YEAR('Data sheet'!$E19)</f>
        <v>2023</v>
      </c>
      <c r="P21" s="7" t="str">
        <f t="shared" ca="1" si="0"/>
        <v>2+ years</v>
      </c>
      <c r="S21" s="9"/>
    </row>
    <row r="22" spans="1:19" x14ac:dyDescent="0.25">
      <c r="A22" s="1" t="s">
        <v>16</v>
      </c>
      <c r="B22" s="1"/>
      <c r="C22" s="2" t="s">
        <v>74</v>
      </c>
      <c r="D22" s="3" t="s">
        <v>75</v>
      </c>
      <c r="E22" s="4">
        <v>45378</v>
      </c>
      <c r="F22" s="4"/>
      <c r="G22" s="5" t="s">
        <v>65</v>
      </c>
      <c r="H22" s="2" t="s">
        <v>21</v>
      </c>
      <c r="I22" s="2" t="s">
        <v>22</v>
      </c>
      <c r="J22" s="6">
        <v>37686</v>
      </c>
      <c r="K22" s="6" t="s">
        <v>28</v>
      </c>
      <c r="L22" s="3" t="s">
        <v>21</v>
      </c>
      <c r="M22" s="3" t="s">
        <v>40</v>
      </c>
      <c r="N22" s="3">
        <v>10</v>
      </c>
      <c r="O22" s="7">
        <f>YEAR('Data sheet'!$E20)</f>
        <v>2023</v>
      </c>
      <c r="P22" s="7" t="str">
        <f t="shared" ca="1" si="0"/>
        <v>2+ years</v>
      </c>
      <c r="S22" s="9"/>
    </row>
    <row r="23" spans="1:19" x14ac:dyDescent="0.25">
      <c r="A23" s="1" t="s">
        <v>136</v>
      </c>
      <c r="B23" s="1"/>
      <c r="C23" s="2">
        <v>193737</v>
      </c>
      <c r="D23" s="3" t="s">
        <v>176</v>
      </c>
      <c r="E23" s="4">
        <v>45057</v>
      </c>
      <c r="F23" s="4"/>
      <c r="G23" s="5" t="s">
        <v>38</v>
      </c>
      <c r="H23" s="2" t="s">
        <v>86</v>
      </c>
      <c r="I23" s="2" t="s">
        <v>22</v>
      </c>
      <c r="J23" s="6">
        <v>44847</v>
      </c>
      <c r="K23" s="6" t="s">
        <v>28</v>
      </c>
      <c r="L23" s="3" t="s">
        <v>29</v>
      </c>
      <c r="M23" s="3" t="s">
        <v>24</v>
      </c>
      <c r="N23" s="3">
        <v>11.5</v>
      </c>
      <c r="O23" s="7">
        <f>YEAR('Data sheet'!$E116)</f>
        <v>2022</v>
      </c>
      <c r="P23" s="7" t="str">
        <f t="shared" ca="1" si="0"/>
        <v>2+ years</v>
      </c>
      <c r="S23" s="9"/>
    </row>
    <row r="24" spans="1:19" x14ac:dyDescent="0.25">
      <c r="A24" s="1" t="s">
        <v>16</v>
      </c>
      <c r="B24" s="1"/>
      <c r="C24" s="2">
        <v>180698</v>
      </c>
      <c r="D24" s="3" t="s">
        <v>177</v>
      </c>
      <c r="E24" s="4">
        <v>45064</v>
      </c>
      <c r="F24" s="4"/>
      <c r="G24" s="5" t="s">
        <v>38</v>
      </c>
      <c r="H24" s="2" t="s">
        <v>86</v>
      </c>
      <c r="I24" s="2" t="s">
        <v>22</v>
      </c>
      <c r="J24" s="6">
        <v>44629</v>
      </c>
      <c r="K24" s="6" t="s">
        <v>23</v>
      </c>
      <c r="L24" s="3" t="s">
        <v>29</v>
      </c>
      <c r="M24" s="3" t="s">
        <v>24</v>
      </c>
      <c r="N24" s="3">
        <v>3.5</v>
      </c>
      <c r="O24" s="7">
        <f>YEAR('Data sheet'!$E117)</f>
        <v>2022</v>
      </c>
      <c r="P24" s="7" t="str">
        <f t="shared" ca="1" si="0"/>
        <v>2+ years</v>
      </c>
      <c r="S24" s="9"/>
    </row>
    <row r="25" spans="1:19" x14ac:dyDescent="0.25">
      <c r="A25" s="1" t="s">
        <v>25</v>
      </c>
      <c r="B25" s="1"/>
      <c r="C25" s="2">
        <v>124433</v>
      </c>
      <c r="D25" s="3" t="s">
        <v>178</v>
      </c>
      <c r="E25" s="4">
        <v>45078</v>
      </c>
      <c r="F25" s="4">
        <v>45118</v>
      </c>
      <c r="G25" s="5" t="s">
        <v>57</v>
      </c>
      <c r="H25" s="2" t="s">
        <v>86</v>
      </c>
      <c r="I25" s="2" t="s">
        <v>39</v>
      </c>
      <c r="J25" s="6">
        <v>44867</v>
      </c>
      <c r="K25" s="6" t="s">
        <v>23</v>
      </c>
      <c r="L25" s="3" t="s">
        <v>97</v>
      </c>
      <c r="M25" s="3" t="s">
        <v>49</v>
      </c>
      <c r="N25" s="3">
        <v>0</v>
      </c>
      <c r="O25" s="7">
        <f>YEAR('Data sheet'!$E118)</f>
        <v>2022</v>
      </c>
      <c r="P25" s="7" t="str">
        <f t="shared" ca="1" si="0"/>
        <v>2+ years</v>
      </c>
      <c r="S25" s="9"/>
    </row>
    <row r="26" spans="1:19" x14ac:dyDescent="0.25">
      <c r="A26" s="1" t="s">
        <v>16</v>
      </c>
      <c r="B26" s="1" t="s">
        <v>133</v>
      </c>
      <c r="C26" s="2">
        <v>151636</v>
      </c>
      <c r="D26" s="3" t="s">
        <v>179</v>
      </c>
      <c r="E26" s="4">
        <v>45083</v>
      </c>
      <c r="F26" s="4"/>
      <c r="G26" s="5" t="s">
        <v>38</v>
      </c>
      <c r="H26" s="2" t="s">
        <v>86</v>
      </c>
      <c r="I26" s="2" t="s">
        <v>22</v>
      </c>
      <c r="J26" s="6">
        <v>44255</v>
      </c>
      <c r="K26" s="6" t="s">
        <v>23</v>
      </c>
      <c r="L26" s="3" t="s">
        <v>97</v>
      </c>
      <c r="M26" s="3" t="s">
        <v>49</v>
      </c>
      <c r="N26" s="3">
        <v>1.8</v>
      </c>
      <c r="O26" s="7">
        <f>YEAR('Data sheet'!$E119)</f>
        <v>2022</v>
      </c>
      <c r="P26" s="7" t="str">
        <f t="shared" ca="1" si="0"/>
        <v>2+ years</v>
      </c>
      <c r="S26" s="9"/>
    </row>
    <row r="27" spans="1:19" x14ac:dyDescent="0.25">
      <c r="A27" s="1" t="s">
        <v>16</v>
      </c>
      <c r="B27" s="1" t="s">
        <v>133</v>
      </c>
      <c r="C27" s="2">
        <v>173529</v>
      </c>
      <c r="D27" s="3" t="s">
        <v>180</v>
      </c>
      <c r="E27" s="4">
        <v>45083</v>
      </c>
      <c r="F27" s="4"/>
      <c r="G27" s="5" t="s">
        <v>38</v>
      </c>
      <c r="H27" s="2" t="s">
        <v>86</v>
      </c>
      <c r="I27" s="2" t="s">
        <v>39</v>
      </c>
      <c r="J27" s="6">
        <v>44204</v>
      </c>
      <c r="K27" s="6" t="s">
        <v>23</v>
      </c>
      <c r="L27" s="3" t="s">
        <v>97</v>
      </c>
      <c r="M27" s="3" t="s">
        <v>49</v>
      </c>
      <c r="N27" s="3">
        <v>1.5</v>
      </c>
      <c r="O27" s="7">
        <f>YEAR('Data sheet'!$E120)</f>
        <v>2020</v>
      </c>
      <c r="P27" s="7" t="str">
        <f t="shared" ca="1" si="0"/>
        <v>2+ years</v>
      </c>
      <c r="S27" s="9"/>
    </row>
    <row r="28" spans="1:19" x14ac:dyDescent="0.25">
      <c r="A28" s="1" t="s">
        <v>16</v>
      </c>
      <c r="B28" s="1" t="s">
        <v>133</v>
      </c>
      <c r="C28" s="2">
        <v>116633</v>
      </c>
      <c r="D28" s="3" t="s">
        <v>181</v>
      </c>
      <c r="E28" s="4">
        <v>45083</v>
      </c>
      <c r="F28" s="4"/>
      <c r="G28" s="5" t="s">
        <v>38</v>
      </c>
      <c r="H28" s="2" t="s">
        <v>86</v>
      </c>
      <c r="I28" s="2" t="s">
        <v>39</v>
      </c>
      <c r="J28" s="6">
        <v>44218</v>
      </c>
      <c r="K28" s="6" t="s">
        <v>23</v>
      </c>
      <c r="L28" s="3" t="s">
        <v>97</v>
      </c>
      <c r="M28" s="3" t="s">
        <v>49</v>
      </c>
      <c r="N28" s="3">
        <v>0.11</v>
      </c>
      <c r="O28" s="7">
        <f>YEAR('Data sheet'!$E121)</f>
        <v>2020</v>
      </c>
      <c r="P28" s="7" t="str">
        <f t="shared" ca="1" si="0"/>
        <v>2+ years</v>
      </c>
      <c r="S28" s="9"/>
    </row>
    <row r="29" spans="1:19" x14ac:dyDescent="0.25">
      <c r="A29" s="1" t="s">
        <v>16</v>
      </c>
      <c r="B29" s="1" t="s">
        <v>133</v>
      </c>
      <c r="C29" s="2">
        <v>160990</v>
      </c>
      <c r="D29" s="3" t="s">
        <v>182</v>
      </c>
      <c r="E29" s="4">
        <v>45083</v>
      </c>
      <c r="F29" s="4"/>
      <c r="G29" s="5" t="s">
        <v>38</v>
      </c>
      <c r="H29" s="2" t="s">
        <v>86</v>
      </c>
      <c r="I29" s="2" t="s">
        <v>22</v>
      </c>
      <c r="J29" s="6">
        <v>44804</v>
      </c>
      <c r="K29" s="6" t="s">
        <v>23</v>
      </c>
      <c r="L29" s="3" t="s">
        <v>97</v>
      </c>
      <c r="M29" s="3" t="s">
        <v>49</v>
      </c>
      <c r="N29" s="3">
        <v>0</v>
      </c>
      <c r="O29" s="7">
        <f>YEAR('Data sheet'!$E122)</f>
        <v>2021</v>
      </c>
      <c r="P29" s="7" t="str">
        <f t="shared" ca="1" si="0"/>
        <v>2+ years</v>
      </c>
      <c r="S29" s="9"/>
    </row>
    <row r="30" spans="1:19" x14ac:dyDescent="0.25">
      <c r="A30" s="1" t="s">
        <v>25</v>
      </c>
      <c r="B30" s="1"/>
      <c r="C30" s="2">
        <v>170513</v>
      </c>
      <c r="D30" s="3" t="s">
        <v>183</v>
      </c>
      <c r="E30" s="4">
        <v>45085</v>
      </c>
      <c r="F30" s="4">
        <v>45382</v>
      </c>
      <c r="G30" s="5" t="s">
        <v>38</v>
      </c>
      <c r="H30" s="2" t="s">
        <v>86</v>
      </c>
      <c r="I30" s="2" t="s">
        <v>39</v>
      </c>
      <c r="J30" s="6">
        <v>44712</v>
      </c>
      <c r="K30" s="6" t="s">
        <v>23</v>
      </c>
      <c r="L30" s="3" t="s">
        <v>29</v>
      </c>
      <c r="M30" s="3" t="s">
        <v>24</v>
      </c>
      <c r="N30" s="3">
        <v>7</v>
      </c>
      <c r="O30" s="7">
        <f>YEAR('Data sheet'!$E123)</f>
        <v>2021</v>
      </c>
      <c r="P30" s="7" t="str">
        <f t="shared" ca="1" si="0"/>
        <v>2+ years</v>
      </c>
      <c r="S30" s="9"/>
    </row>
    <row r="31" spans="1:19" x14ac:dyDescent="0.25">
      <c r="A31" s="1" t="s">
        <v>16</v>
      </c>
      <c r="B31" s="1"/>
      <c r="C31" s="2">
        <v>167822</v>
      </c>
      <c r="D31" s="3" t="s">
        <v>184</v>
      </c>
      <c r="E31" s="4">
        <v>45106</v>
      </c>
      <c r="F31" s="4"/>
      <c r="G31" s="5" t="s">
        <v>38</v>
      </c>
      <c r="H31" s="2" t="s">
        <v>86</v>
      </c>
      <c r="I31" s="2" t="s">
        <v>22</v>
      </c>
      <c r="J31" s="6">
        <v>44773</v>
      </c>
      <c r="K31" s="6" t="s">
        <v>28</v>
      </c>
      <c r="L31" s="3" t="s">
        <v>97</v>
      </c>
      <c r="M31" s="3" t="s">
        <v>49</v>
      </c>
      <c r="N31" s="3">
        <v>7</v>
      </c>
      <c r="O31" s="7">
        <f>YEAR('Data sheet'!$E124)</f>
        <v>2020</v>
      </c>
      <c r="P31" s="7" t="str">
        <f t="shared" ca="1" si="0"/>
        <v>2+ years</v>
      </c>
      <c r="S31" s="9"/>
    </row>
    <row r="32" spans="1:19" x14ac:dyDescent="0.25">
      <c r="A32" s="1" t="s">
        <v>16</v>
      </c>
      <c r="B32" s="1"/>
      <c r="C32" s="2">
        <v>161037</v>
      </c>
      <c r="D32" s="3" t="s">
        <v>185</v>
      </c>
      <c r="E32" s="4">
        <v>45111</v>
      </c>
      <c r="F32" s="4"/>
      <c r="G32" s="5" t="s">
        <v>38</v>
      </c>
      <c r="H32" s="2" t="s">
        <v>86</v>
      </c>
      <c r="I32" s="2" t="s">
        <v>39</v>
      </c>
      <c r="J32" s="6">
        <v>44629</v>
      </c>
      <c r="K32" s="6" t="s">
        <v>23</v>
      </c>
      <c r="L32" s="3" t="s">
        <v>97</v>
      </c>
      <c r="M32" s="3" t="s">
        <v>24</v>
      </c>
      <c r="N32" s="3">
        <v>5</v>
      </c>
      <c r="O32" s="7">
        <f>YEAR('Data sheet'!$E125)</f>
        <v>2020</v>
      </c>
      <c r="P32" s="7" t="str">
        <f t="shared" ca="1" si="0"/>
        <v>2+ years</v>
      </c>
      <c r="S32" s="9"/>
    </row>
    <row r="33" spans="1:19" x14ac:dyDescent="0.25">
      <c r="A33" s="1" t="s">
        <v>16</v>
      </c>
      <c r="B33" s="1"/>
      <c r="C33" s="2">
        <v>153255</v>
      </c>
      <c r="D33" s="3" t="s">
        <v>186</v>
      </c>
      <c r="E33" s="4">
        <v>45120</v>
      </c>
      <c r="F33" s="4"/>
      <c r="G33" s="5" t="s">
        <v>38</v>
      </c>
      <c r="H33" s="2" t="s">
        <v>86</v>
      </c>
      <c r="I33" s="2" t="s">
        <v>39</v>
      </c>
      <c r="J33" s="6">
        <v>44590</v>
      </c>
      <c r="K33" s="6" t="s">
        <v>23</v>
      </c>
      <c r="L33" s="3" t="s">
        <v>97</v>
      </c>
      <c r="M33" s="3" t="s">
        <v>35</v>
      </c>
      <c r="N33" s="3">
        <v>3.8</v>
      </c>
      <c r="O33" s="7">
        <f>YEAR('Data sheet'!$E126)</f>
        <v>2020</v>
      </c>
      <c r="P33" s="7" t="str">
        <f t="shared" ca="1" si="0"/>
        <v>2+ years</v>
      </c>
      <c r="S33" s="9"/>
    </row>
    <row r="34" spans="1:19" x14ac:dyDescent="0.25">
      <c r="A34" s="1" t="s">
        <v>16</v>
      </c>
      <c r="B34" s="1"/>
      <c r="C34" s="2">
        <v>123179</v>
      </c>
      <c r="D34" s="3" t="s">
        <v>187</v>
      </c>
      <c r="E34" s="4">
        <v>45125</v>
      </c>
      <c r="F34" s="4"/>
      <c r="G34" s="5" t="s">
        <v>38</v>
      </c>
      <c r="H34" s="2" t="s">
        <v>86</v>
      </c>
      <c r="I34" s="2" t="s">
        <v>39</v>
      </c>
      <c r="J34" s="6">
        <v>44612</v>
      </c>
      <c r="K34" s="6" t="s">
        <v>23</v>
      </c>
      <c r="L34" s="3" t="s">
        <v>29</v>
      </c>
      <c r="M34" s="3" t="s">
        <v>49</v>
      </c>
      <c r="N34" s="3">
        <v>6.5</v>
      </c>
      <c r="O34" s="7">
        <f>YEAR('Data sheet'!$E127)</f>
        <v>2020</v>
      </c>
      <c r="P34" s="7" t="str">
        <f t="shared" ref="P34:P65" ca="1" si="1">IF(DATEDIF(E34,TODAY(),"Y")&gt;=5,"5+ years",
IF(DATEDIF(E34,TODAY(),"Y")&gt;=4,"4+ years",
IF(DATEDIF(E34,TODAY(),"Y")&gt;=3,"3+ years",
IF(DATEDIF(E34,TODAY(),"Y")&gt;=2,"2+ years",
IF(DATEDIF(E34,TODAY(),"Y")&gt;=1,"1+ years","&lt;1 year")))))</f>
        <v>2+ years</v>
      </c>
      <c r="S34" s="9"/>
    </row>
    <row r="35" spans="1:19" x14ac:dyDescent="0.25">
      <c r="A35" s="1" t="s">
        <v>16</v>
      </c>
      <c r="B35" s="1"/>
      <c r="C35" s="2">
        <v>189554</v>
      </c>
      <c r="D35" s="3" t="s">
        <v>188</v>
      </c>
      <c r="E35" s="4">
        <v>45134</v>
      </c>
      <c r="F35" s="4"/>
      <c r="G35" s="5" t="s">
        <v>38</v>
      </c>
      <c r="H35" s="2" t="s">
        <v>86</v>
      </c>
      <c r="I35" s="2" t="s">
        <v>39</v>
      </c>
      <c r="J35" s="6">
        <v>44766</v>
      </c>
      <c r="K35" s="6" t="s">
        <v>28</v>
      </c>
      <c r="L35" s="3" t="s">
        <v>29</v>
      </c>
      <c r="M35" s="3" t="s">
        <v>49</v>
      </c>
      <c r="N35" s="3">
        <v>8</v>
      </c>
      <c r="O35" s="7">
        <f>YEAR('Data sheet'!$E128)</f>
        <v>2020</v>
      </c>
      <c r="P35" s="7" t="str">
        <f t="shared" ca="1" si="1"/>
        <v>2+ years</v>
      </c>
      <c r="S35" s="9"/>
    </row>
    <row r="36" spans="1:19" x14ac:dyDescent="0.25">
      <c r="A36" s="1" t="s">
        <v>16</v>
      </c>
      <c r="B36" s="1"/>
      <c r="C36" s="2">
        <v>186786</v>
      </c>
      <c r="D36" s="3" t="s">
        <v>189</v>
      </c>
      <c r="E36" s="4">
        <v>45139</v>
      </c>
      <c r="F36" s="4"/>
      <c r="G36" s="5" t="s">
        <v>20</v>
      </c>
      <c r="H36" s="2" t="s">
        <v>86</v>
      </c>
      <c r="I36" s="2" t="s">
        <v>39</v>
      </c>
      <c r="J36" s="6">
        <v>44819</v>
      </c>
      <c r="K36" s="6" t="s">
        <v>23</v>
      </c>
      <c r="L36" s="3" t="s">
        <v>97</v>
      </c>
      <c r="M36" s="3" t="s">
        <v>62</v>
      </c>
      <c r="N36" s="3">
        <v>1.5</v>
      </c>
      <c r="O36" s="7">
        <f>YEAR('Data sheet'!$E129)</f>
        <v>2020</v>
      </c>
      <c r="P36" s="7" t="str">
        <f t="shared" ca="1" si="1"/>
        <v>2+ years</v>
      </c>
    </row>
    <row r="37" spans="1:19" x14ac:dyDescent="0.25">
      <c r="A37" s="1" t="s">
        <v>16</v>
      </c>
      <c r="B37" s="1"/>
      <c r="C37" s="2">
        <v>186818</v>
      </c>
      <c r="D37" s="3" t="s">
        <v>190</v>
      </c>
      <c r="E37" s="4">
        <v>45141</v>
      </c>
      <c r="F37" s="4"/>
      <c r="G37" s="5" t="s">
        <v>20</v>
      </c>
      <c r="H37" s="2" t="s">
        <v>86</v>
      </c>
      <c r="I37" s="2" t="s">
        <v>22</v>
      </c>
      <c r="J37" s="6">
        <v>44696</v>
      </c>
      <c r="K37" s="6" t="s">
        <v>23</v>
      </c>
      <c r="L37" s="3" t="s">
        <v>29</v>
      </c>
      <c r="M37" s="3" t="s">
        <v>62</v>
      </c>
      <c r="N37" s="3">
        <v>7</v>
      </c>
      <c r="O37" s="7">
        <f>YEAR('Data sheet'!$E130)</f>
        <v>2020</v>
      </c>
      <c r="P37" s="7" t="str">
        <f t="shared" ca="1" si="1"/>
        <v>2+ years</v>
      </c>
    </row>
    <row r="38" spans="1:19" x14ac:dyDescent="0.25">
      <c r="A38" s="1" t="s">
        <v>16</v>
      </c>
      <c r="B38" s="1"/>
      <c r="C38" s="2">
        <v>147963</v>
      </c>
      <c r="D38" s="3" t="s">
        <v>191</v>
      </c>
      <c r="E38" s="4">
        <v>45154</v>
      </c>
      <c r="F38" s="4"/>
      <c r="G38" s="5" t="s">
        <v>38</v>
      </c>
      <c r="H38" s="2" t="s">
        <v>86</v>
      </c>
      <c r="I38" s="2" t="s">
        <v>39</v>
      </c>
      <c r="J38" s="6">
        <v>44620</v>
      </c>
      <c r="K38" s="6" t="s">
        <v>28</v>
      </c>
      <c r="L38" s="3" t="s">
        <v>29</v>
      </c>
      <c r="M38" s="3" t="s">
        <v>24</v>
      </c>
      <c r="N38" s="3">
        <v>15</v>
      </c>
      <c r="O38" s="7">
        <f>YEAR('Data sheet'!$E131)</f>
        <v>2020</v>
      </c>
      <c r="P38" s="7" t="str">
        <f t="shared" ca="1" si="1"/>
        <v>2+ years</v>
      </c>
    </row>
    <row r="39" spans="1:19" x14ac:dyDescent="0.25">
      <c r="A39" s="1" t="s">
        <v>16</v>
      </c>
      <c r="B39" s="1"/>
      <c r="C39" s="2">
        <v>150614</v>
      </c>
      <c r="D39" s="3" t="s">
        <v>192</v>
      </c>
      <c r="E39" s="4">
        <v>45181</v>
      </c>
      <c r="F39" s="4"/>
      <c r="G39" s="5" t="s">
        <v>38</v>
      </c>
      <c r="H39" s="2" t="s">
        <v>86</v>
      </c>
      <c r="I39" s="2" t="s">
        <v>22</v>
      </c>
      <c r="J39" s="6">
        <v>44830</v>
      </c>
      <c r="K39" s="6" t="s">
        <v>28</v>
      </c>
      <c r="L39" s="3" t="s">
        <v>29</v>
      </c>
      <c r="M39" s="3" t="s">
        <v>44</v>
      </c>
      <c r="N39" s="3">
        <v>10.7</v>
      </c>
      <c r="O39" s="7">
        <f>YEAR('Data sheet'!$E132)</f>
        <v>2020</v>
      </c>
      <c r="P39" s="7" t="str">
        <f t="shared" ca="1" si="1"/>
        <v>2+ years</v>
      </c>
    </row>
    <row r="40" spans="1:19" x14ac:dyDescent="0.25">
      <c r="A40" s="1" t="s">
        <v>16</v>
      </c>
      <c r="B40" s="1"/>
      <c r="C40" s="2">
        <v>137151</v>
      </c>
      <c r="D40" s="3" t="s">
        <v>193</v>
      </c>
      <c r="E40" s="4">
        <v>45195</v>
      </c>
      <c r="F40" s="4"/>
      <c r="G40" s="5" t="s">
        <v>57</v>
      </c>
      <c r="H40" s="2" t="s">
        <v>86</v>
      </c>
      <c r="I40" s="2" t="s">
        <v>39</v>
      </c>
      <c r="J40" s="6">
        <v>44917</v>
      </c>
      <c r="K40" s="6" t="s">
        <v>23</v>
      </c>
      <c r="L40" s="3" t="s">
        <v>97</v>
      </c>
      <c r="M40" s="3" t="s">
        <v>62</v>
      </c>
      <c r="N40" s="3">
        <v>2</v>
      </c>
      <c r="O40" s="7">
        <f>YEAR('Data sheet'!$E133)</f>
        <v>2020</v>
      </c>
      <c r="P40" s="7" t="str">
        <f t="shared" ca="1" si="1"/>
        <v>2+ years</v>
      </c>
    </row>
    <row r="41" spans="1:19" x14ac:dyDescent="0.25">
      <c r="A41" s="1" t="s">
        <v>16</v>
      </c>
      <c r="B41" s="1" t="s">
        <v>133</v>
      </c>
      <c r="C41" s="2">
        <v>173998</v>
      </c>
      <c r="D41" s="3" t="s">
        <v>194</v>
      </c>
      <c r="E41" s="4">
        <v>45227</v>
      </c>
      <c r="F41" s="4"/>
      <c r="G41" s="5" t="s">
        <v>38</v>
      </c>
      <c r="H41" s="2" t="s">
        <v>86</v>
      </c>
      <c r="I41" s="2" t="s">
        <v>22</v>
      </c>
      <c r="J41" s="6">
        <v>44271</v>
      </c>
      <c r="K41" s="6" t="s">
        <v>23</v>
      </c>
      <c r="L41" s="3" t="s">
        <v>29</v>
      </c>
      <c r="M41" s="3" t="s">
        <v>30</v>
      </c>
      <c r="N41" s="3">
        <v>5.3</v>
      </c>
      <c r="O41" s="7">
        <f>YEAR('Data sheet'!$E134)</f>
        <v>2020</v>
      </c>
      <c r="P41" s="7" t="str">
        <f t="shared" ca="1" si="1"/>
        <v>2+ years</v>
      </c>
    </row>
    <row r="42" spans="1:19" x14ac:dyDescent="0.25">
      <c r="A42" s="1" t="s">
        <v>16</v>
      </c>
      <c r="B42" s="1" t="s">
        <v>133</v>
      </c>
      <c r="C42" s="2">
        <v>103925</v>
      </c>
      <c r="D42" s="3" t="s">
        <v>195</v>
      </c>
      <c r="E42" s="4">
        <v>45260</v>
      </c>
      <c r="F42" s="4"/>
      <c r="G42" s="5" t="s">
        <v>38</v>
      </c>
      <c r="H42" s="2" t="s">
        <v>86</v>
      </c>
      <c r="I42" s="2" t="s">
        <v>22</v>
      </c>
      <c r="J42" s="6">
        <v>44328</v>
      </c>
      <c r="K42" s="6" t="s">
        <v>28</v>
      </c>
      <c r="L42" s="3" t="s">
        <v>97</v>
      </c>
      <c r="M42" s="3" t="s">
        <v>40</v>
      </c>
      <c r="N42" s="3">
        <v>4.5</v>
      </c>
      <c r="O42" s="7">
        <f>YEAR('Data sheet'!$E135)</f>
        <v>2020</v>
      </c>
      <c r="P42" s="7" t="str">
        <f t="shared" ca="1" si="1"/>
        <v>2+ years</v>
      </c>
    </row>
    <row r="43" spans="1:19" x14ac:dyDescent="0.25">
      <c r="A43" s="1" t="s">
        <v>16</v>
      </c>
      <c r="B43" s="1"/>
      <c r="C43" s="2">
        <v>118694</v>
      </c>
      <c r="D43" s="3" t="s">
        <v>196</v>
      </c>
      <c r="E43" s="4">
        <v>45265</v>
      </c>
      <c r="F43" s="4"/>
      <c r="G43" s="5" t="s">
        <v>38</v>
      </c>
      <c r="H43" s="2" t="s">
        <v>86</v>
      </c>
      <c r="I43" s="2" t="s">
        <v>22</v>
      </c>
      <c r="J43" s="6">
        <v>44581</v>
      </c>
      <c r="K43" s="6" t="s">
        <v>23</v>
      </c>
      <c r="L43" s="3" t="s">
        <v>97</v>
      </c>
      <c r="M43" s="3" t="s">
        <v>40</v>
      </c>
      <c r="N43" s="3">
        <v>3.5</v>
      </c>
      <c r="O43" s="7">
        <f>YEAR('Data sheet'!$E136)</f>
        <v>2020</v>
      </c>
      <c r="P43" s="7" t="str">
        <f t="shared" ca="1" si="1"/>
        <v>2+ years</v>
      </c>
    </row>
    <row r="44" spans="1:19" x14ac:dyDescent="0.25">
      <c r="A44" s="1" t="s">
        <v>16</v>
      </c>
      <c r="B44" s="1"/>
      <c r="C44" s="2">
        <v>195849</v>
      </c>
      <c r="D44" s="3" t="s">
        <v>197</v>
      </c>
      <c r="E44" s="4">
        <v>45265</v>
      </c>
      <c r="F44" s="4"/>
      <c r="G44" s="5" t="s">
        <v>38</v>
      </c>
      <c r="H44" s="2" t="s">
        <v>86</v>
      </c>
      <c r="I44" s="2" t="s">
        <v>39</v>
      </c>
      <c r="J44" s="6">
        <v>44786</v>
      </c>
      <c r="K44" s="6" t="s">
        <v>23</v>
      </c>
      <c r="L44" s="3" t="s">
        <v>97</v>
      </c>
      <c r="M44" s="3" t="s">
        <v>40</v>
      </c>
      <c r="N44" s="3">
        <v>1.5</v>
      </c>
      <c r="O44" s="7">
        <f>YEAR('Data sheet'!$E137)</f>
        <v>2020</v>
      </c>
      <c r="P44" s="7" t="str">
        <f t="shared" ca="1" si="1"/>
        <v>2+ years</v>
      </c>
    </row>
    <row r="45" spans="1:19" x14ac:dyDescent="0.25">
      <c r="A45" s="1" t="s">
        <v>16</v>
      </c>
      <c r="B45" s="1"/>
      <c r="C45" s="2">
        <v>182665</v>
      </c>
      <c r="D45" s="3" t="s">
        <v>198</v>
      </c>
      <c r="E45" s="4">
        <v>45267</v>
      </c>
      <c r="F45" s="4"/>
      <c r="G45" s="5" t="s">
        <v>38</v>
      </c>
      <c r="H45" s="2" t="s">
        <v>86</v>
      </c>
      <c r="I45" s="2" t="s">
        <v>39</v>
      </c>
      <c r="J45" s="6">
        <v>44622</v>
      </c>
      <c r="K45" s="6" t="s">
        <v>28</v>
      </c>
      <c r="L45" s="3" t="s">
        <v>29</v>
      </c>
      <c r="M45" s="3" t="s">
        <v>35</v>
      </c>
      <c r="N45" s="3">
        <v>10.9</v>
      </c>
      <c r="O45" s="7">
        <f>YEAR('Data sheet'!$E138)</f>
        <v>2020</v>
      </c>
      <c r="P45" s="7" t="str">
        <f t="shared" ca="1" si="1"/>
        <v>2+ years</v>
      </c>
    </row>
    <row r="46" spans="1:19" x14ac:dyDescent="0.25">
      <c r="A46" s="1" t="s">
        <v>16</v>
      </c>
      <c r="B46" s="1"/>
      <c r="C46" s="2">
        <v>151067</v>
      </c>
      <c r="D46" s="3" t="s">
        <v>52</v>
      </c>
      <c r="E46" s="4">
        <v>45272</v>
      </c>
      <c r="F46" s="4"/>
      <c r="G46" s="3" t="s">
        <v>43</v>
      </c>
      <c r="H46" s="2" t="s">
        <v>86</v>
      </c>
      <c r="I46" s="2" t="s">
        <v>39</v>
      </c>
      <c r="J46" s="6">
        <v>44764</v>
      </c>
      <c r="K46" s="6" t="s">
        <v>28</v>
      </c>
      <c r="L46" s="3" t="s">
        <v>97</v>
      </c>
      <c r="M46" s="3" t="s">
        <v>49</v>
      </c>
      <c r="N46" s="3">
        <v>2.8</v>
      </c>
      <c r="O46" s="7">
        <f>YEAR('Data sheet'!$E139)</f>
        <v>2020</v>
      </c>
      <c r="P46" s="7" t="str">
        <f t="shared" ca="1" si="1"/>
        <v>2+ years</v>
      </c>
    </row>
    <row r="47" spans="1:19" x14ac:dyDescent="0.25">
      <c r="A47" s="1" t="s">
        <v>16</v>
      </c>
      <c r="B47" s="1" t="s">
        <v>133</v>
      </c>
      <c r="C47" s="2">
        <v>188212</v>
      </c>
      <c r="D47" s="3" t="s">
        <v>199</v>
      </c>
      <c r="E47" s="4">
        <v>45274</v>
      </c>
      <c r="F47" s="4"/>
      <c r="G47" s="5" t="s">
        <v>38</v>
      </c>
      <c r="H47" s="2" t="s">
        <v>86</v>
      </c>
      <c r="I47" s="2" t="s">
        <v>22</v>
      </c>
      <c r="J47" s="6">
        <v>44542</v>
      </c>
      <c r="K47" s="6" t="s">
        <v>28</v>
      </c>
      <c r="L47" s="3" t="s">
        <v>29</v>
      </c>
      <c r="M47" s="3" t="s">
        <v>35</v>
      </c>
      <c r="N47" s="3">
        <v>7.5</v>
      </c>
      <c r="O47" s="7">
        <f>YEAR('Data sheet'!$E140)</f>
        <v>2020</v>
      </c>
      <c r="P47" s="7" t="str">
        <f t="shared" ca="1" si="1"/>
        <v>2+ years</v>
      </c>
    </row>
    <row r="48" spans="1:19" x14ac:dyDescent="0.25">
      <c r="A48" s="1" t="s">
        <v>16</v>
      </c>
      <c r="B48" s="1" t="s">
        <v>133</v>
      </c>
      <c r="C48" s="2">
        <v>188527</v>
      </c>
      <c r="D48" s="3" t="s">
        <v>200</v>
      </c>
      <c r="E48" s="4">
        <v>45274</v>
      </c>
      <c r="F48" s="4"/>
      <c r="G48" s="5" t="s">
        <v>38</v>
      </c>
      <c r="H48" s="2" t="s">
        <v>86</v>
      </c>
      <c r="I48" s="2" t="s">
        <v>39</v>
      </c>
      <c r="J48" s="6">
        <v>44701</v>
      </c>
      <c r="K48" s="6" t="s">
        <v>23</v>
      </c>
      <c r="L48" s="3" t="s">
        <v>97</v>
      </c>
      <c r="M48" s="3" t="s">
        <v>40</v>
      </c>
      <c r="N48" s="3">
        <v>10</v>
      </c>
      <c r="O48" s="7">
        <f>YEAR('Data sheet'!$E141)</f>
        <v>2020</v>
      </c>
      <c r="P48" s="7" t="str">
        <f t="shared" ca="1" si="1"/>
        <v>2+ years</v>
      </c>
    </row>
    <row r="49" spans="1:16" x14ac:dyDescent="0.25">
      <c r="A49" s="1" t="s">
        <v>16</v>
      </c>
      <c r="B49" s="1"/>
      <c r="C49" s="2">
        <v>151539</v>
      </c>
      <c r="D49" s="3" t="s">
        <v>201</v>
      </c>
      <c r="E49" s="4">
        <v>45279</v>
      </c>
      <c r="F49" s="4"/>
      <c r="G49" s="5" t="s">
        <v>38</v>
      </c>
      <c r="H49" s="2" t="s">
        <v>86</v>
      </c>
      <c r="I49" s="2" t="s">
        <v>39</v>
      </c>
      <c r="J49" s="6">
        <v>44613</v>
      </c>
      <c r="K49" s="6" t="s">
        <v>23</v>
      </c>
      <c r="L49" s="3" t="s">
        <v>97</v>
      </c>
      <c r="M49" s="3" t="s">
        <v>40</v>
      </c>
      <c r="N49" s="3">
        <v>0</v>
      </c>
      <c r="O49" s="7">
        <f>YEAR('Data sheet'!$E142)</f>
        <v>2020</v>
      </c>
      <c r="P49" s="7" t="str">
        <f t="shared" ca="1" si="1"/>
        <v>2+ years</v>
      </c>
    </row>
    <row r="50" spans="1:16" x14ac:dyDescent="0.25">
      <c r="A50" s="1" t="s">
        <v>16</v>
      </c>
      <c r="B50" s="1"/>
      <c r="C50" s="2">
        <v>148895</v>
      </c>
      <c r="D50" s="3" t="s">
        <v>202</v>
      </c>
      <c r="E50" s="4">
        <v>45288</v>
      </c>
      <c r="F50" s="4"/>
      <c r="G50" s="3" t="s">
        <v>43</v>
      </c>
      <c r="H50" s="2" t="s">
        <v>86</v>
      </c>
      <c r="I50" s="2" t="s">
        <v>39</v>
      </c>
      <c r="J50" s="6">
        <v>44668</v>
      </c>
      <c r="K50" s="6" t="s">
        <v>23</v>
      </c>
      <c r="L50" s="3" t="s">
        <v>97</v>
      </c>
      <c r="M50" s="3" t="s">
        <v>49</v>
      </c>
      <c r="N50" s="3">
        <v>0</v>
      </c>
      <c r="O50" s="7">
        <f>YEAR('Data sheet'!$E143)</f>
        <v>2020</v>
      </c>
      <c r="P50" s="7" t="str">
        <f t="shared" ca="1" si="1"/>
        <v>2+ years</v>
      </c>
    </row>
    <row r="51" spans="1:16" x14ac:dyDescent="0.25">
      <c r="A51" s="1" t="s">
        <v>16</v>
      </c>
      <c r="B51" s="1" t="s">
        <v>133</v>
      </c>
      <c r="C51" s="2">
        <v>114477</v>
      </c>
      <c r="D51" s="3" t="s">
        <v>203</v>
      </c>
      <c r="E51" s="4">
        <v>45295</v>
      </c>
      <c r="F51" s="4"/>
      <c r="G51" s="5" t="s">
        <v>38</v>
      </c>
      <c r="H51" s="2" t="s">
        <v>86</v>
      </c>
      <c r="I51" s="2" t="s">
        <v>22</v>
      </c>
      <c r="J51" s="6">
        <v>44386</v>
      </c>
      <c r="K51" s="6" t="s">
        <v>23</v>
      </c>
      <c r="L51" s="3" t="s">
        <v>97</v>
      </c>
      <c r="M51" s="3" t="s">
        <v>40</v>
      </c>
      <c r="N51" s="3">
        <v>1.6</v>
      </c>
      <c r="O51" s="7">
        <f>YEAR('Data sheet'!$E144)</f>
        <v>2020</v>
      </c>
      <c r="P51" s="7" t="str">
        <f t="shared" ca="1" si="1"/>
        <v>2+ years</v>
      </c>
    </row>
    <row r="52" spans="1:16" x14ac:dyDescent="0.25">
      <c r="A52" s="1" t="s">
        <v>16</v>
      </c>
      <c r="B52" s="1"/>
      <c r="C52" s="2">
        <v>170085</v>
      </c>
      <c r="D52" s="3" t="s">
        <v>204</v>
      </c>
      <c r="E52" s="4">
        <v>45302</v>
      </c>
      <c r="F52" s="4"/>
      <c r="G52" s="5" t="s">
        <v>38</v>
      </c>
      <c r="H52" s="2" t="s">
        <v>86</v>
      </c>
      <c r="I52" s="2" t="s">
        <v>22</v>
      </c>
      <c r="J52" s="6">
        <v>45144</v>
      </c>
      <c r="K52" s="6" t="s">
        <v>23</v>
      </c>
      <c r="L52" s="3" t="s">
        <v>97</v>
      </c>
      <c r="M52" s="3" t="s">
        <v>40</v>
      </c>
      <c r="N52" s="3">
        <v>3.5</v>
      </c>
      <c r="O52" s="7">
        <f>YEAR('Data sheet'!$E145)</f>
        <v>2020</v>
      </c>
      <c r="P52" s="7" t="str">
        <f t="shared" ca="1" si="1"/>
        <v>2+ years</v>
      </c>
    </row>
    <row r="53" spans="1:16" x14ac:dyDescent="0.25">
      <c r="A53" s="1" t="s">
        <v>16</v>
      </c>
      <c r="B53" s="1"/>
      <c r="C53" s="2">
        <v>148355</v>
      </c>
      <c r="D53" s="3" t="s">
        <v>205</v>
      </c>
      <c r="E53" s="4">
        <v>45302</v>
      </c>
      <c r="F53" s="4"/>
      <c r="G53" s="5" t="s">
        <v>20</v>
      </c>
      <c r="H53" s="2" t="s">
        <v>86</v>
      </c>
      <c r="I53" s="2" t="s">
        <v>22</v>
      </c>
      <c r="J53" s="6">
        <v>44433</v>
      </c>
      <c r="K53" s="6" t="s">
        <v>23</v>
      </c>
      <c r="L53" s="3" t="s">
        <v>97</v>
      </c>
      <c r="M53" s="3" t="s">
        <v>49</v>
      </c>
      <c r="N53" s="3">
        <v>14</v>
      </c>
      <c r="O53" s="7">
        <f>YEAR('Data sheet'!$E146)</f>
        <v>2020</v>
      </c>
      <c r="P53" s="7" t="str">
        <f t="shared" ca="1" si="1"/>
        <v>2+ years</v>
      </c>
    </row>
    <row r="54" spans="1:16" x14ac:dyDescent="0.25">
      <c r="A54" s="1" t="s">
        <v>16</v>
      </c>
      <c r="B54" s="1"/>
      <c r="C54" s="2">
        <v>132724</v>
      </c>
      <c r="D54" s="3" t="s">
        <v>206</v>
      </c>
      <c r="E54" s="4">
        <v>45314</v>
      </c>
      <c r="F54" s="4"/>
      <c r="G54" s="3" t="s">
        <v>52</v>
      </c>
      <c r="H54" s="2" t="s">
        <v>86</v>
      </c>
      <c r="I54" s="2" t="s">
        <v>22</v>
      </c>
      <c r="J54" s="6">
        <v>45021</v>
      </c>
      <c r="K54" s="6" t="s">
        <v>23</v>
      </c>
      <c r="L54" s="3" t="s">
        <v>97</v>
      </c>
      <c r="M54" s="3" t="s">
        <v>40</v>
      </c>
      <c r="N54" s="3">
        <v>0.6</v>
      </c>
      <c r="O54" s="7">
        <f>YEAR('Data sheet'!$E147)</f>
        <v>2020</v>
      </c>
      <c r="P54" s="7" t="str">
        <f t="shared" ca="1" si="1"/>
        <v>2+ years</v>
      </c>
    </row>
    <row r="55" spans="1:16" x14ac:dyDescent="0.25">
      <c r="A55" s="1" t="s">
        <v>16</v>
      </c>
      <c r="B55" s="1"/>
      <c r="C55" s="2">
        <v>136024</v>
      </c>
      <c r="D55" s="3" t="s">
        <v>207</v>
      </c>
      <c r="E55" s="4">
        <v>45314</v>
      </c>
      <c r="F55" s="4"/>
      <c r="G55" s="5" t="s">
        <v>57</v>
      </c>
      <c r="H55" s="2" t="s">
        <v>86</v>
      </c>
      <c r="I55" s="2" t="s">
        <v>22</v>
      </c>
      <c r="J55" s="6">
        <v>44524</v>
      </c>
      <c r="K55" s="6" t="s">
        <v>23</v>
      </c>
      <c r="L55" s="3" t="s">
        <v>89</v>
      </c>
      <c r="M55" s="3" t="s">
        <v>49</v>
      </c>
      <c r="N55" s="3">
        <v>14</v>
      </c>
      <c r="O55" s="7">
        <f>YEAR('Data sheet'!$E148)</f>
        <v>2020</v>
      </c>
      <c r="P55" s="7" t="str">
        <f t="shared" ca="1" si="1"/>
        <v>2+ years</v>
      </c>
    </row>
    <row r="56" spans="1:16" x14ac:dyDescent="0.25">
      <c r="A56" s="1" t="s">
        <v>16</v>
      </c>
      <c r="B56" s="1" t="s">
        <v>133</v>
      </c>
      <c r="C56" s="2">
        <v>186654</v>
      </c>
      <c r="D56" s="3" t="s">
        <v>208</v>
      </c>
      <c r="E56" s="4">
        <v>45323</v>
      </c>
      <c r="F56" s="4"/>
      <c r="G56" s="5" t="s">
        <v>38</v>
      </c>
      <c r="H56" s="2" t="s">
        <v>86</v>
      </c>
      <c r="I56" s="2" t="s">
        <v>39</v>
      </c>
      <c r="J56" s="6">
        <v>44708</v>
      </c>
      <c r="K56" s="6" t="s">
        <v>23</v>
      </c>
      <c r="L56" s="3" t="s">
        <v>97</v>
      </c>
      <c r="M56" s="3" t="s">
        <v>49</v>
      </c>
      <c r="N56" s="3">
        <v>3.3</v>
      </c>
      <c r="O56" s="7">
        <f>YEAR('Data sheet'!$E149)</f>
        <v>2020</v>
      </c>
      <c r="P56" s="7" t="str">
        <f t="shared" ca="1" si="1"/>
        <v>2+ years</v>
      </c>
    </row>
    <row r="57" spans="1:16" x14ac:dyDescent="0.25">
      <c r="A57" s="1" t="s">
        <v>16</v>
      </c>
      <c r="B57" s="1"/>
      <c r="C57" s="2">
        <v>140505</v>
      </c>
      <c r="D57" s="3" t="s">
        <v>209</v>
      </c>
      <c r="E57" s="4">
        <v>45323</v>
      </c>
      <c r="F57" s="4"/>
      <c r="G57" s="5" t="s">
        <v>20</v>
      </c>
      <c r="H57" s="2" t="s">
        <v>86</v>
      </c>
      <c r="I57" s="2" t="s">
        <v>39</v>
      </c>
      <c r="J57" s="6">
        <v>44504</v>
      </c>
      <c r="K57" s="6" t="s">
        <v>23</v>
      </c>
      <c r="L57" s="3" t="s">
        <v>97</v>
      </c>
      <c r="M57" s="3" t="s">
        <v>49</v>
      </c>
      <c r="N57" s="3">
        <v>13</v>
      </c>
      <c r="O57" s="7">
        <f>YEAR('Data sheet'!$E150)</f>
        <v>2020</v>
      </c>
      <c r="P57" s="7" t="str">
        <f t="shared" ca="1" si="1"/>
        <v>2+ years</v>
      </c>
    </row>
    <row r="58" spans="1:16" x14ac:dyDescent="0.25">
      <c r="A58" s="1" t="s">
        <v>16</v>
      </c>
      <c r="B58" s="1"/>
      <c r="C58" s="2">
        <v>166500</v>
      </c>
      <c r="D58" s="3" t="s">
        <v>210</v>
      </c>
      <c r="E58" s="4">
        <v>45328</v>
      </c>
      <c r="F58" s="4"/>
      <c r="G58" s="5" t="s">
        <v>38</v>
      </c>
      <c r="H58" s="2" t="s">
        <v>86</v>
      </c>
      <c r="I58" s="2" t="s">
        <v>39</v>
      </c>
      <c r="J58" s="6">
        <v>44906</v>
      </c>
      <c r="K58" s="6" t="s">
        <v>23</v>
      </c>
      <c r="L58" s="3" t="s">
        <v>97</v>
      </c>
      <c r="M58" s="3" t="s">
        <v>35</v>
      </c>
      <c r="N58" s="3">
        <v>1.5</v>
      </c>
      <c r="O58" s="7">
        <f>YEAR('Data sheet'!$E151)</f>
        <v>2020</v>
      </c>
      <c r="P58" s="7" t="str">
        <f t="shared" ca="1" si="1"/>
        <v>2+ years</v>
      </c>
    </row>
    <row r="59" spans="1:16" x14ac:dyDescent="0.25">
      <c r="A59" s="1" t="s">
        <v>16</v>
      </c>
      <c r="B59" s="1" t="s">
        <v>133</v>
      </c>
      <c r="C59" s="2">
        <v>196256</v>
      </c>
      <c r="D59" s="3" t="s">
        <v>211</v>
      </c>
      <c r="E59" s="4">
        <v>45366</v>
      </c>
      <c r="F59" s="4"/>
      <c r="G59" s="5" t="s">
        <v>38</v>
      </c>
      <c r="H59" s="2" t="s">
        <v>86</v>
      </c>
      <c r="I59" s="2" t="s">
        <v>39</v>
      </c>
      <c r="J59" s="6">
        <v>44319</v>
      </c>
      <c r="K59" s="6" t="s">
        <v>28</v>
      </c>
      <c r="L59" s="3" t="s">
        <v>97</v>
      </c>
      <c r="M59" s="3" t="s">
        <v>49</v>
      </c>
      <c r="N59" s="3">
        <v>3</v>
      </c>
      <c r="O59" s="7">
        <f>YEAR('Data sheet'!$E152)</f>
        <v>2020</v>
      </c>
      <c r="P59" s="7" t="str">
        <f t="shared" ca="1" si="1"/>
        <v>2+ years</v>
      </c>
    </row>
    <row r="60" spans="1:16" x14ac:dyDescent="0.25">
      <c r="A60" s="1" t="s">
        <v>16</v>
      </c>
      <c r="B60" s="1"/>
      <c r="C60" s="2">
        <v>107622</v>
      </c>
      <c r="D60" s="3" t="s">
        <v>212</v>
      </c>
      <c r="E60" s="4">
        <v>45366</v>
      </c>
      <c r="F60" s="4"/>
      <c r="G60" s="5" t="s">
        <v>57</v>
      </c>
      <c r="H60" s="2" t="s">
        <v>86</v>
      </c>
      <c r="I60" s="2" t="s">
        <v>39</v>
      </c>
      <c r="J60" s="6">
        <v>44314</v>
      </c>
      <c r="K60" s="6" t="s">
        <v>23</v>
      </c>
      <c r="L60" s="3" t="s">
        <v>29</v>
      </c>
      <c r="M60" s="3" t="s">
        <v>49</v>
      </c>
      <c r="N60" s="3">
        <v>13</v>
      </c>
      <c r="O60" s="7">
        <f>YEAR('Data sheet'!$E153)</f>
        <v>2020</v>
      </c>
      <c r="P60" s="7" t="str">
        <f t="shared" ca="1" si="1"/>
        <v>2+ years</v>
      </c>
    </row>
    <row r="61" spans="1:16" x14ac:dyDescent="0.25">
      <c r="A61" s="1" t="s">
        <v>16</v>
      </c>
      <c r="B61" s="1"/>
      <c r="C61" s="2">
        <v>140845</v>
      </c>
      <c r="D61" s="3" t="s">
        <v>213</v>
      </c>
      <c r="E61" s="4">
        <v>45374</v>
      </c>
      <c r="F61" s="4"/>
      <c r="G61" s="3" t="s">
        <v>43</v>
      </c>
      <c r="H61" s="2" t="s">
        <v>86</v>
      </c>
      <c r="I61" s="2" t="s">
        <v>22</v>
      </c>
      <c r="J61" s="6">
        <v>45081</v>
      </c>
      <c r="K61" s="6" t="s">
        <v>23</v>
      </c>
      <c r="L61" s="3" t="s">
        <v>29</v>
      </c>
      <c r="M61" s="3" t="s">
        <v>49</v>
      </c>
      <c r="N61" s="3">
        <v>10</v>
      </c>
      <c r="O61" s="7">
        <f>YEAR('Data sheet'!$E154)</f>
        <v>2020</v>
      </c>
      <c r="P61" s="7" t="str">
        <f t="shared" ca="1" si="1"/>
        <v>2+ years</v>
      </c>
    </row>
    <row r="62" spans="1:16" x14ac:dyDescent="0.25">
      <c r="A62" s="1" t="s">
        <v>16</v>
      </c>
      <c r="B62" s="1"/>
      <c r="C62" s="2">
        <v>196163</v>
      </c>
      <c r="D62" s="3" t="s">
        <v>214</v>
      </c>
      <c r="E62" s="4">
        <v>45374</v>
      </c>
      <c r="F62" s="4"/>
      <c r="G62" s="3" t="s">
        <v>52</v>
      </c>
      <c r="H62" s="2" t="s">
        <v>86</v>
      </c>
      <c r="I62" s="2" t="s">
        <v>22</v>
      </c>
      <c r="J62" s="6">
        <v>44911</v>
      </c>
      <c r="K62" s="6" t="s">
        <v>23</v>
      </c>
      <c r="L62" s="3" t="s">
        <v>97</v>
      </c>
      <c r="M62" s="3" t="s">
        <v>49</v>
      </c>
      <c r="N62" s="3">
        <v>6.8</v>
      </c>
      <c r="O62" s="7">
        <f>YEAR('Data sheet'!$E155)</f>
        <v>2020</v>
      </c>
      <c r="P62" s="7" t="str">
        <f t="shared" ca="1" si="1"/>
        <v>2+ years</v>
      </c>
    </row>
    <row r="63" spans="1:16" x14ac:dyDescent="0.25">
      <c r="A63" s="1" t="s">
        <v>16</v>
      </c>
      <c r="B63" s="1"/>
      <c r="C63" s="2">
        <v>143527</v>
      </c>
      <c r="D63" s="3" t="s">
        <v>215</v>
      </c>
      <c r="E63" s="4">
        <v>45374</v>
      </c>
      <c r="F63" s="4"/>
      <c r="G63" s="5" t="s">
        <v>20</v>
      </c>
      <c r="H63" s="2" t="s">
        <v>86</v>
      </c>
      <c r="I63" s="2" t="s">
        <v>22</v>
      </c>
      <c r="J63" s="6">
        <v>44241</v>
      </c>
      <c r="K63" s="6" t="s">
        <v>28</v>
      </c>
      <c r="L63" s="3" t="s">
        <v>89</v>
      </c>
      <c r="M63" s="3" t="s">
        <v>40</v>
      </c>
      <c r="N63" s="3">
        <v>7</v>
      </c>
      <c r="O63" s="7">
        <f>YEAR('Data sheet'!$E156)</f>
        <v>2020</v>
      </c>
      <c r="P63" s="7" t="str">
        <f t="shared" ca="1" si="1"/>
        <v>2+ years</v>
      </c>
    </row>
    <row r="64" spans="1:16" x14ac:dyDescent="0.25">
      <c r="A64" s="1" t="s">
        <v>16</v>
      </c>
      <c r="B64" s="1"/>
      <c r="C64" s="2">
        <v>121781</v>
      </c>
      <c r="D64" s="3" t="s">
        <v>216</v>
      </c>
      <c r="E64" s="4">
        <v>45374</v>
      </c>
      <c r="F64" s="4"/>
      <c r="G64" s="5" t="s">
        <v>20</v>
      </c>
      <c r="H64" s="2" t="s">
        <v>86</v>
      </c>
      <c r="I64" s="2" t="s">
        <v>22</v>
      </c>
      <c r="J64" s="6">
        <v>44266</v>
      </c>
      <c r="K64" s="6" t="s">
        <v>23</v>
      </c>
      <c r="L64" s="3" t="s">
        <v>89</v>
      </c>
      <c r="M64" s="3" t="s">
        <v>40</v>
      </c>
      <c r="N64" s="3">
        <v>13</v>
      </c>
      <c r="O64" s="7">
        <f>YEAR('Data sheet'!$E157)</f>
        <v>2020</v>
      </c>
      <c r="P64" s="7" t="str">
        <f t="shared" ca="1" si="1"/>
        <v>2+ years</v>
      </c>
    </row>
    <row r="65" spans="1:16" x14ac:dyDescent="0.25">
      <c r="A65" s="1" t="s">
        <v>16</v>
      </c>
      <c r="B65" s="1" t="s">
        <v>133</v>
      </c>
      <c r="C65" s="2">
        <v>190716</v>
      </c>
      <c r="D65" s="3" t="s">
        <v>217</v>
      </c>
      <c r="E65" s="4">
        <v>45385</v>
      </c>
      <c r="F65" s="4"/>
      <c r="G65" s="3" t="s">
        <v>43</v>
      </c>
      <c r="H65" s="2" t="s">
        <v>86</v>
      </c>
      <c r="I65" s="2" t="s">
        <v>39</v>
      </c>
      <c r="J65" s="6">
        <v>44362</v>
      </c>
      <c r="K65" s="6" t="s">
        <v>28</v>
      </c>
      <c r="L65" s="3" t="s">
        <v>97</v>
      </c>
      <c r="M65" s="3" t="s">
        <v>40</v>
      </c>
      <c r="N65" s="3">
        <v>4</v>
      </c>
      <c r="O65" s="7">
        <f>YEAR('Data sheet'!$E158)</f>
        <v>2020</v>
      </c>
      <c r="P65" s="7" t="str">
        <f t="shared" ca="1" si="1"/>
        <v>2+ years</v>
      </c>
    </row>
    <row r="66" spans="1:16" x14ac:dyDescent="0.25">
      <c r="A66" s="1" t="s">
        <v>16</v>
      </c>
      <c r="B66" s="1"/>
      <c r="C66" s="2">
        <v>131453</v>
      </c>
      <c r="D66" s="3" t="s">
        <v>218</v>
      </c>
      <c r="E66" s="4">
        <v>45385</v>
      </c>
      <c r="F66" s="4"/>
      <c r="G66" s="5" t="s">
        <v>57</v>
      </c>
      <c r="H66" s="2" t="s">
        <v>86</v>
      </c>
      <c r="I66" s="2" t="s">
        <v>22</v>
      </c>
      <c r="J66" s="6">
        <v>44940</v>
      </c>
      <c r="K66" s="6" t="s">
        <v>23</v>
      </c>
      <c r="L66" s="3" t="s">
        <v>97</v>
      </c>
      <c r="M66" s="3" t="s">
        <v>24</v>
      </c>
      <c r="N66" s="3">
        <v>8</v>
      </c>
      <c r="O66" s="7">
        <f>YEAR('Data sheet'!$E159)</f>
        <v>2020</v>
      </c>
      <c r="P66" s="7" t="str">
        <f t="shared" ref="P66:P97" ca="1" si="2">IF(DATEDIF(E66,TODAY(),"Y")&gt;=5,"5+ years",
IF(DATEDIF(E66,TODAY(),"Y")&gt;=4,"4+ years",
IF(DATEDIF(E66,TODAY(),"Y")&gt;=3,"3+ years",
IF(DATEDIF(E66,TODAY(),"Y")&gt;=2,"2+ years",
IF(DATEDIF(E66,TODAY(),"Y")&gt;=1,"1+ years","&lt;1 year")))))</f>
        <v>2+ years</v>
      </c>
    </row>
    <row r="67" spans="1:16" x14ac:dyDescent="0.25">
      <c r="A67" s="1" t="s">
        <v>16</v>
      </c>
      <c r="B67" s="1"/>
      <c r="C67" s="2">
        <v>133611</v>
      </c>
      <c r="D67" s="3" t="s">
        <v>219</v>
      </c>
      <c r="E67" s="4">
        <v>45401</v>
      </c>
      <c r="F67" s="4"/>
      <c r="G67" s="5" t="s">
        <v>57</v>
      </c>
      <c r="H67" s="2" t="s">
        <v>86</v>
      </c>
      <c r="I67" s="2" t="s">
        <v>39</v>
      </c>
      <c r="J67" s="6">
        <v>36300</v>
      </c>
      <c r="K67" s="6" t="s">
        <v>23</v>
      </c>
      <c r="L67" s="3" t="s">
        <v>97</v>
      </c>
      <c r="M67" s="3" t="s">
        <v>62</v>
      </c>
      <c r="N67" s="3">
        <v>0</v>
      </c>
      <c r="O67" s="7">
        <f>YEAR('Data sheet'!$E160)</f>
        <v>2020</v>
      </c>
      <c r="P67" s="7" t="str">
        <f t="shared" ca="1" si="2"/>
        <v>2+ years</v>
      </c>
    </row>
    <row r="68" spans="1:16" x14ac:dyDescent="0.25">
      <c r="A68" s="1" t="s">
        <v>25</v>
      </c>
      <c r="B68" s="1"/>
      <c r="C68" s="2" t="s">
        <v>45</v>
      </c>
      <c r="D68" s="3" t="s">
        <v>46</v>
      </c>
      <c r="E68" s="4">
        <v>44715</v>
      </c>
      <c r="F68" s="4">
        <v>44951</v>
      </c>
      <c r="G68" s="5" t="s">
        <v>38</v>
      </c>
      <c r="H68" s="2" t="s">
        <v>21</v>
      </c>
      <c r="I68" s="2" t="s">
        <v>22</v>
      </c>
      <c r="J68" s="6">
        <v>44226</v>
      </c>
      <c r="K68" s="6" t="s">
        <v>23</v>
      </c>
      <c r="L68" s="3" t="s">
        <v>21</v>
      </c>
      <c r="M68" s="3" t="s">
        <v>40</v>
      </c>
      <c r="N68" s="3">
        <v>2.8</v>
      </c>
      <c r="O68" s="7">
        <f>YEAR('Data sheet'!$E8)</f>
        <v>2024</v>
      </c>
      <c r="P68" s="7" t="str">
        <f t="shared" ca="1" si="2"/>
        <v>3+ years</v>
      </c>
    </row>
    <row r="69" spans="1:16" x14ac:dyDescent="0.25">
      <c r="A69" s="1" t="s">
        <v>25</v>
      </c>
      <c r="B69" s="1"/>
      <c r="C69" s="2" t="s">
        <v>47</v>
      </c>
      <c r="D69" s="3" t="s">
        <v>48</v>
      </c>
      <c r="E69" s="4">
        <v>44721</v>
      </c>
      <c r="F69" s="4">
        <v>45149</v>
      </c>
      <c r="G69" s="5" t="s">
        <v>38</v>
      </c>
      <c r="H69" s="2" t="s">
        <v>21</v>
      </c>
      <c r="I69" s="2" t="s">
        <v>22</v>
      </c>
      <c r="J69" s="6">
        <v>44497</v>
      </c>
      <c r="K69" s="6" t="s">
        <v>23</v>
      </c>
      <c r="L69" s="3" t="s">
        <v>21</v>
      </c>
      <c r="M69" s="3" t="s">
        <v>49</v>
      </c>
      <c r="N69" s="3">
        <v>0</v>
      </c>
      <c r="O69" s="7">
        <f>YEAR('Data sheet'!$E9)</f>
        <v>2024</v>
      </c>
      <c r="P69" s="7" t="str">
        <f t="shared" ca="1" si="2"/>
        <v>3+ years</v>
      </c>
    </row>
    <row r="70" spans="1:16" x14ac:dyDescent="0.25">
      <c r="A70" s="1" t="s">
        <v>25</v>
      </c>
      <c r="B70" s="1"/>
      <c r="C70" s="2" t="s">
        <v>50</v>
      </c>
      <c r="D70" s="3" t="s">
        <v>51</v>
      </c>
      <c r="E70" s="4">
        <v>44749</v>
      </c>
      <c r="F70" s="4">
        <v>45168</v>
      </c>
      <c r="G70" s="3" t="s">
        <v>52</v>
      </c>
      <c r="H70" s="2" t="s">
        <v>21</v>
      </c>
      <c r="I70" s="2" t="s">
        <v>22</v>
      </c>
      <c r="J70" s="6">
        <v>44556</v>
      </c>
      <c r="K70" s="6" t="s">
        <v>23</v>
      </c>
      <c r="L70" s="3" t="s">
        <v>21</v>
      </c>
      <c r="M70" s="3" t="s">
        <v>49</v>
      </c>
      <c r="N70" s="3">
        <v>3</v>
      </c>
      <c r="O70" s="7">
        <f>YEAR('Data sheet'!$E10)</f>
        <v>2024</v>
      </c>
      <c r="P70" s="7" t="str">
        <f t="shared" ca="1" si="2"/>
        <v>3+ years</v>
      </c>
    </row>
    <row r="71" spans="1:16" x14ac:dyDescent="0.25">
      <c r="A71" s="1" t="s">
        <v>25</v>
      </c>
      <c r="B71" s="1"/>
      <c r="C71" s="2" t="s">
        <v>53</v>
      </c>
      <c r="D71" s="3" t="s">
        <v>54</v>
      </c>
      <c r="E71" s="4">
        <v>44777</v>
      </c>
      <c r="F71" s="4">
        <v>45059</v>
      </c>
      <c r="G71" s="5" t="s">
        <v>38</v>
      </c>
      <c r="H71" s="2" t="s">
        <v>21</v>
      </c>
      <c r="I71" s="2" t="s">
        <v>22</v>
      </c>
      <c r="J71" s="6">
        <v>44293</v>
      </c>
      <c r="K71" s="6" t="s">
        <v>23</v>
      </c>
      <c r="L71" s="3" t="s">
        <v>21</v>
      </c>
      <c r="M71" s="3" t="s">
        <v>35</v>
      </c>
      <c r="N71" s="3">
        <v>5.9</v>
      </c>
      <c r="O71" s="7">
        <f>YEAR('Data sheet'!$E11)</f>
        <v>2024</v>
      </c>
      <c r="P71" s="7" t="str">
        <f t="shared" ca="1" si="2"/>
        <v>3+ years</v>
      </c>
    </row>
    <row r="72" spans="1:16" x14ac:dyDescent="0.25">
      <c r="A72" s="1" t="s">
        <v>16</v>
      </c>
      <c r="B72" s="1"/>
      <c r="C72" s="2" t="s">
        <v>55</v>
      </c>
      <c r="D72" s="3" t="s">
        <v>56</v>
      </c>
      <c r="E72" s="4">
        <v>44805</v>
      </c>
      <c r="F72" s="4"/>
      <c r="G72" s="5" t="s">
        <v>57</v>
      </c>
      <c r="H72" s="2" t="s">
        <v>21</v>
      </c>
      <c r="I72" s="2" t="s">
        <v>22</v>
      </c>
      <c r="J72" s="6">
        <v>44487</v>
      </c>
      <c r="K72" s="6" t="s">
        <v>28</v>
      </c>
      <c r="L72" s="3" t="s">
        <v>21</v>
      </c>
      <c r="M72" s="3" t="s">
        <v>44</v>
      </c>
      <c r="N72" s="3">
        <v>10</v>
      </c>
      <c r="O72" s="7">
        <f>YEAR('Data sheet'!$E12)</f>
        <v>2024</v>
      </c>
      <c r="P72" s="7" t="str">
        <f t="shared" ca="1" si="2"/>
        <v>3+ years</v>
      </c>
    </row>
    <row r="73" spans="1:16" x14ac:dyDescent="0.25">
      <c r="A73" s="1" t="s">
        <v>25</v>
      </c>
      <c r="B73" s="1"/>
      <c r="C73" s="2" t="s">
        <v>58</v>
      </c>
      <c r="D73" s="3" t="s">
        <v>59</v>
      </c>
      <c r="E73" s="4">
        <v>44812</v>
      </c>
      <c r="F73" s="4">
        <v>45290</v>
      </c>
      <c r="G73" s="5" t="s">
        <v>57</v>
      </c>
      <c r="H73" s="2" t="s">
        <v>21</v>
      </c>
      <c r="I73" s="2" t="s">
        <v>39</v>
      </c>
      <c r="J73" s="6">
        <v>44312</v>
      </c>
      <c r="K73" s="6" t="s">
        <v>23</v>
      </c>
      <c r="L73" s="3" t="s">
        <v>21</v>
      </c>
      <c r="M73" s="3" t="s">
        <v>40</v>
      </c>
      <c r="N73" s="3">
        <v>1</v>
      </c>
      <c r="O73" s="7">
        <f>YEAR('Data sheet'!$E13)</f>
        <v>2025</v>
      </c>
      <c r="P73" s="7" t="str">
        <f t="shared" ca="1" si="2"/>
        <v>3+ years</v>
      </c>
    </row>
    <row r="74" spans="1:16" x14ac:dyDescent="0.25">
      <c r="A74" s="1" t="s">
        <v>16</v>
      </c>
      <c r="B74" s="1"/>
      <c r="C74" s="2" t="s">
        <v>60</v>
      </c>
      <c r="D74" s="3" t="s">
        <v>61</v>
      </c>
      <c r="E74" s="4">
        <v>44873</v>
      </c>
      <c r="F74" s="4"/>
      <c r="G74" s="5" t="s">
        <v>57</v>
      </c>
      <c r="H74" s="2" t="s">
        <v>21</v>
      </c>
      <c r="I74" s="2" t="s">
        <v>22</v>
      </c>
      <c r="J74" s="6">
        <v>44496</v>
      </c>
      <c r="K74" s="6" t="s">
        <v>28</v>
      </c>
      <c r="L74" s="3" t="s">
        <v>21</v>
      </c>
      <c r="M74" s="3" t="s">
        <v>62</v>
      </c>
      <c r="N74" s="3">
        <v>10</v>
      </c>
      <c r="O74" s="7">
        <f>YEAR('Data sheet'!$E14)</f>
        <v>2025</v>
      </c>
      <c r="P74" s="7" t="str">
        <f t="shared" ca="1" si="2"/>
        <v>3+ years</v>
      </c>
    </row>
    <row r="75" spans="1:16" x14ac:dyDescent="0.25">
      <c r="A75" s="1" t="s">
        <v>25</v>
      </c>
      <c r="B75" s="1"/>
      <c r="C75" s="2" t="s">
        <v>63</v>
      </c>
      <c r="D75" s="3" t="s">
        <v>64</v>
      </c>
      <c r="E75" s="4">
        <v>44947</v>
      </c>
      <c r="F75" s="4">
        <v>45251</v>
      </c>
      <c r="G75" s="5" t="s">
        <v>65</v>
      </c>
      <c r="H75" s="2" t="s">
        <v>21</v>
      </c>
      <c r="I75" s="2" t="s">
        <v>22</v>
      </c>
      <c r="J75" s="6">
        <v>44445</v>
      </c>
      <c r="K75" s="6" t="s">
        <v>23</v>
      </c>
      <c r="L75" s="3" t="s">
        <v>21</v>
      </c>
      <c r="M75" s="3" t="s">
        <v>40</v>
      </c>
      <c r="N75" s="3">
        <v>0</v>
      </c>
      <c r="O75" s="7">
        <f>YEAR('Data sheet'!$E15)</f>
        <v>2025</v>
      </c>
      <c r="P75" s="7" t="str">
        <f t="shared" ca="1" si="2"/>
        <v>3+ years</v>
      </c>
    </row>
    <row r="76" spans="1:16" x14ac:dyDescent="0.25">
      <c r="A76" s="1" t="s">
        <v>136</v>
      </c>
      <c r="B76" s="1"/>
      <c r="C76" s="2">
        <v>152991</v>
      </c>
      <c r="D76" s="3" t="s">
        <v>157</v>
      </c>
      <c r="E76" s="4">
        <v>44686</v>
      </c>
      <c r="F76" s="4"/>
      <c r="G76" s="5" t="s">
        <v>38</v>
      </c>
      <c r="H76" s="2" t="s">
        <v>86</v>
      </c>
      <c r="I76" s="2" t="s">
        <v>22</v>
      </c>
      <c r="J76" s="6">
        <v>44245</v>
      </c>
      <c r="K76" s="6" t="s">
        <v>28</v>
      </c>
      <c r="L76" s="3" t="s">
        <v>29</v>
      </c>
      <c r="M76" s="3" t="s">
        <v>24</v>
      </c>
      <c r="N76" s="3">
        <v>15</v>
      </c>
      <c r="O76" s="7">
        <f>YEAR('Data sheet'!$E97)</f>
        <v>2021</v>
      </c>
      <c r="P76" s="7" t="str">
        <f t="shared" ca="1" si="2"/>
        <v>4+ years</v>
      </c>
    </row>
    <row r="77" spans="1:16" x14ac:dyDescent="0.25">
      <c r="A77" s="1" t="s">
        <v>25</v>
      </c>
      <c r="B77" s="1" t="s">
        <v>133</v>
      </c>
      <c r="C77" s="2">
        <v>101996</v>
      </c>
      <c r="D77" s="3" t="s">
        <v>158</v>
      </c>
      <c r="E77" s="4">
        <v>44742</v>
      </c>
      <c r="F77" s="4">
        <v>45108</v>
      </c>
      <c r="G77" s="5" t="s">
        <v>38</v>
      </c>
      <c r="H77" s="2" t="s">
        <v>86</v>
      </c>
      <c r="I77" s="2" t="s">
        <v>22</v>
      </c>
      <c r="J77" s="6">
        <v>44414</v>
      </c>
      <c r="K77" s="6" t="s">
        <v>23</v>
      </c>
      <c r="L77" s="3" t="s">
        <v>97</v>
      </c>
      <c r="M77" s="3" t="s">
        <v>62</v>
      </c>
      <c r="N77" s="3">
        <v>1</v>
      </c>
      <c r="O77" s="7">
        <f>YEAR('Data sheet'!$E98)</f>
        <v>2021</v>
      </c>
      <c r="P77" s="7" t="str">
        <f t="shared" ca="1" si="2"/>
        <v>3+ years</v>
      </c>
    </row>
    <row r="78" spans="1:16" x14ac:dyDescent="0.25">
      <c r="A78" s="1" t="s">
        <v>25</v>
      </c>
      <c r="B78" s="1"/>
      <c r="C78" s="2">
        <v>138939</v>
      </c>
      <c r="D78" s="3" t="s">
        <v>159</v>
      </c>
      <c r="E78" s="4">
        <v>44749</v>
      </c>
      <c r="F78" s="4">
        <v>45054</v>
      </c>
      <c r="G78" s="5" t="s">
        <v>38</v>
      </c>
      <c r="H78" s="2" t="s">
        <v>86</v>
      </c>
      <c r="I78" s="2" t="s">
        <v>39</v>
      </c>
      <c r="J78" s="6">
        <v>44289</v>
      </c>
      <c r="K78" s="6" t="s">
        <v>28</v>
      </c>
      <c r="L78" s="3" t="s">
        <v>29</v>
      </c>
      <c r="M78" s="3" t="s">
        <v>24</v>
      </c>
      <c r="N78" s="3">
        <v>6</v>
      </c>
      <c r="O78" s="7">
        <f>YEAR('Data sheet'!$E99)</f>
        <v>2021</v>
      </c>
      <c r="P78" s="7" t="str">
        <f t="shared" ca="1" si="2"/>
        <v>3+ years</v>
      </c>
    </row>
    <row r="79" spans="1:16" x14ac:dyDescent="0.25">
      <c r="A79" s="1" t="s">
        <v>25</v>
      </c>
      <c r="B79" s="1"/>
      <c r="C79" s="2">
        <v>198396</v>
      </c>
      <c r="D79" s="3" t="s">
        <v>160</v>
      </c>
      <c r="E79" s="4">
        <v>44763</v>
      </c>
      <c r="F79" s="4">
        <v>45324</v>
      </c>
      <c r="G79" s="5" t="s">
        <v>38</v>
      </c>
      <c r="H79" s="2" t="s">
        <v>86</v>
      </c>
      <c r="I79" s="2" t="s">
        <v>22</v>
      </c>
      <c r="J79" s="6">
        <v>44208</v>
      </c>
      <c r="K79" s="6" t="s">
        <v>28</v>
      </c>
      <c r="L79" s="3" t="s">
        <v>89</v>
      </c>
      <c r="M79" s="3" t="s">
        <v>30</v>
      </c>
      <c r="N79" s="3">
        <v>18</v>
      </c>
      <c r="O79" s="7">
        <f>YEAR('Data sheet'!$E100)</f>
        <v>2021</v>
      </c>
      <c r="P79" s="7" t="str">
        <f t="shared" ca="1" si="2"/>
        <v>3+ years</v>
      </c>
    </row>
    <row r="80" spans="1:16" x14ac:dyDescent="0.25">
      <c r="A80" s="1" t="s">
        <v>16</v>
      </c>
      <c r="B80" s="1"/>
      <c r="C80" s="2">
        <v>194143</v>
      </c>
      <c r="D80" s="3" t="s">
        <v>161</v>
      </c>
      <c r="E80" s="4">
        <v>44763</v>
      </c>
      <c r="F80" s="4"/>
      <c r="G80" s="5" t="s">
        <v>57</v>
      </c>
      <c r="H80" s="2" t="s">
        <v>86</v>
      </c>
      <c r="I80" s="2" t="s">
        <v>22</v>
      </c>
      <c r="J80" s="6">
        <v>44248</v>
      </c>
      <c r="K80" s="6" t="s">
        <v>28</v>
      </c>
      <c r="L80" s="3" t="s">
        <v>29</v>
      </c>
      <c r="M80" s="3" t="s">
        <v>62</v>
      </c>
      <c r="N80" s="3">
        <v>6.5</v>
      </c>
      <c r="O80" s="7">
        <f>YEAR('Data sheet'!$E101)</f>
        <v>2021</v>
      </c>
      <c r="P80" s="7" t="str">
        <f t="shared" ca="1" si="2"/>
        <v>3+ years</v>
      </c>
    </row>
    <row r="81" spans="1:16" x14ac:dyDescent="0.25">
      <c r="A81" s="1" t="s">
        <v>136</v>
      </c>
      <c r="B81" s="1"/>
      <c r="C81" s="2">
        <v>134729</v>
      </c>
      <c r="D81" s="3" t="s">
        <v>162</v>
      </c>
      <c r="E81" s="4">
        <v>44768</v>
      </c>
      <c r="F81" s="4"/>
      <c r="G81" s="5" t="s">
        <v>38</v>
      </c>
      <c r="H81" s="2" t="s">
        <v>86</v>
      </c>
      <c r="I81" s="2" t="s">
        <v>22</v>
      </c>
      <c r="J81" s="6">
        <v>44206</v>
      </c>
      <c r="K81" s="6" t="s">
        <v>23</v>
      </c>
      <c r="L81" s="3" t="s">
        <v>29</v>
      </c>
      <c r="M81" s="3" t="s">
        <v>24</v>
      </c>
      <c r="N81" s="3">
        <v>7</v>
      </c>
      <c r="O81" s="7">
        <f>YEAR('Data sheet'!$E102)</f>
        <v>2021</v>
      </c>
      <c r="P81" s="7" t="str">
        <f t="shared" ca="1" si="2"/>
        <v>3+ years</v>
      </c>
    </row>
    <row r="82" spans="1:16" x14ac:dyDescent="0.25">
      <c r="A82" s="1" t="s">
        <v>25</v>
      </c>
      <c r="B82" s="1"/>
      <c r="C82" s="2">
        <v>186526</v>
      </c>
      <c r="D82" s="3" t="s">
        <v>163</v>
      </c>
      <c r="E82" s="4">
        <v>44805</v>
      </c>
      <c r="F82" s="4">
        <v>45269</v>
      </c>
      <c r="G82" s="5" t="s">
        <v>57</v>
      </c>
      <c r="H82" s="2" t="s">
        <v>86</v>
      </c>
      <c r="I82" s="2" t="s">
        <v>39</v>
      </c>
      <c r="J82" s="6">
        <v>44540</v>
      </c>
      <c r="K82" s="6" t="s">
        <v>28</v>
      </c>
      <c r="L82" s="3" t="s">
        <v>97</v>
      </c>
      <c r="M82" s="3" t="s">
        <v>62</v>
      </c>
      <c r="N82" s="3">
        <v>1.8</v>
      </c>
      <c r="O82" s="7">
        <f>YEAR('Data sheet'!$E103)</f>
        <v>2021</v>
      </c>
      <c r="P82" s="7" t="str">
        <f t="shared" ca="1" si="2"/>
        <v>3+ years</v>
      </c>
    </row>
    <row r="83" spans="1:16" x14ac:dyDescent="0.25">
      <c r="A83" s="1" t="s">
        <v>16</v>
      </c>
      <c r="B83" s="1"/>
      <c r="C83" s="2">
        <v>115395</v>
      </c>
      <c r="D83" s="3" t="s">
        <v>164</v>
      </c>
      <c r="E83" s="4">
        <v>44805</v>
      </c>
      <c r="F83" s="4"/>
      <c r="G83" s="5" t="s">
        <v>57</v>
      </c>
      <c r="H83" s="2" t="s">
        <v>86</v>
      </c>
      <c r="I83" s="2" t="s">
        <v>39</v>
      </c>
      <c r="J83" s="6">
        <v>44495</v>
      </c>
      <c r="K83" s="6" t="s">
        <v>23</v>
      </c>
      <c r="L83" s="3" t="s">
        <v>97</v>
      </c>
      <c r="M83" s="3" t="s">
        <v>62</v>
      </c>
      <c r="N83" s="3">
        <v>3.5</v>
      </c>
      <c r="O83" s="7">
        <f>YEAR('Data sheet'!$E104)</f>
        <v>2021</v>
      </c>
      <c r="P83" s="7" t="str">
        <f t="shared" ca="1" si="2"/>
        <v>3+ years</v>
      </c>
    </row>
    <row r="84" spans="1:16" x14ac:dyDescent="0.25">
      <c r="A84" s="1" t="s">
        <v>16</v>
      </c>
      <c r="B84" s="1"/>
      <c r="C84" s="2">
        <v>160948</v>
      </c>
      <c r="D84" s="3" t="s">
        <v>165</v>
      </c>
      <c r="E84" s="4">
        <v>44805</v>
      </c>
      <c r="F84" s="4"/>
      <c r="G84" s="5" t="s">
        <v>57</v>
      </c>
      <c r="H84" s="2" t="s">
        <v>86</v>
      </c>
      <c r="I84" s="2" t="s">
        <v>39</v>
      </c>
      <c r="J84" s="6">
        <v>44472</v>
      </c>
      <c r="K84" s="6" t="s">
        <v>23</v>
      </c>
      <c r="L84" s="3" t="s">
        <v>97</v>
      </c>
      <c r="M84" s="3" t="s">
        <v>62</v>
      </c>
      <c r="N84" s="3">
        <v>0</v>
      </c>
      <c r="O84" s="7">
        <f>YEAR('Data sheet'!$E105)</f>
        <v>2021</v>
      </c>
      <c r="P84" s="7" t="str">
        <f t="shared" ca="1" si="2"/>
        <v>3+ years</v>
      </c>
    </row>
    <row r="85" spans="1:16" x14ac:dyDescent="0.25">
      <c r="A85" s="1" t="s">
        <v>16</v>
      </c>
      <c r="B85" s="1"/>
      <c r="C85" s="2">
        <v>163814</v>
      </c>
      <c r="D85" s="3" t="s">
        <v>166</v>
      </c>
      <c r="E85" s="4">
        <v>44805</v>
      </c>
      <c r="F85" s="4"/>
      <c r="G85" s="5" t="s">
        <v>20</v>
      </c>
      <c r="H85" s="2" t="s">
        <v>86</v>
      </c>
      <c r="I85" s="2" t="s">
        <v>22</v>
      </c>
      <c r="J85" s="6">
        <v>44208</v>
      </c>
      <c r="K85" s="6" t="s">
        <v>23</v>
      </c>
      <c r="L85" s="3" t="s">
        <v>97</v>
      </c>
      <c r="M85" s="3" t="s">
        <v>62</v>
      </c>
      <c r="N85" s="3">
        <v>2</v>
      </c>
      <c r="O85" s="7">
        <f>YEAR('Data sheet'!$E106)</f>
        <v>2021</v>
      </c>
      <c r="P85" s="7" t="str">
        <f t="shared" ca="1" si="2"/>
        <v>3+ years</v>
      </c>
    </row>
    <row r="86" spans="1:16" x14ac:dyDescent="0.25">
      <c r="A86" s="1" t="s">
        <v>16</v>
      </c>
      <c r="B86" s="1"/>
      <c r="C86" s="2">
        <v>163161</v>
      </c>
      <c r="D86" s="3" t="s">
        <v>167</v>
      </c>
      <c r="E86" s="4">
        <v>44805</v>
      </c>
      <c r="F86" s="4"/>
      <c r="G86" s="5" t="s">
        <v>57</v>
      </c>
      <c r="H86" s="2" t="s">
        <v>86</v>
      </c>
      <c r="I86" s="2" t="s">
        <v>22</v>
      </c>
      <c r="J86" s="6">
        <v>44215</v>
      </c>
      <c r="K86" s="6" t="s">
        <v>28</v>
      </c>
      <c r="L86" s="3" t="s">
        <v>29</v>
      </c>
      <c r="M86" s="3" t="s">
        <v>62</v>
      </c>
      <c r="N86" s="3">
        <v>13</v>
      </c>
      <c r="O86" s="7">
        <f>YEAR('Data sheet'!$E107)</f>
        <v>2021</v>
      </c>
      <c r="P86" s="7" t="str">
        <f t="shared" ca="1" si="2"/>
        <v>3+ years</v>
      </c>
    </row>
    <row r="87" spans="1:16" x14ac:dyDescent="0.25">
      <c r="A87" s="1" t="s">
        <v>16</v>
      </c>
      <c r="B87" s="1"/>
      <c r="C87" s="2">
        <v>173240</v>
      </c>
      <c r="D87" s="3" t="s">
        <v>168</v>
      </c>
      <c r="E87" s="4">
        <v>44819</v>
      </c>
      <c r="F87" s="4"/>
      <c r="G87" s="5" t="s">
        <v>20</v>
      </c>
      <c r="H87" s="2" t="s">
        <v>86</v>
      </c>
      <c r="I87" s="2" t="s">
        <v>39</v>
      </c>
      <c r="J87" s="6">
        <v>44229</v>
      </c>
      <c r="K87" s="6" t="s">
        <v>28</v>
      </c>
      <c r="L87" s="3" t="s">
        <v>29</v>
      </c>
      <c r="M87" s="3" t="s">
        <v>62</v>
      </c>
      <c r="N87" s="3">
        <v>8.1999999999999993</v>
      </c>
      <c r="O87" s="7">
        <f>YEAR('Data sheet'!$E108)</f>
        <v>2021</v>
      </c>
      <c r="P87" s="7" t="str">
        <f t="shared" ca="1" si="2"/>
        <v>3+ years</v>
      </c>
    </row>
    <row r="88" spans="1:16" x14ac:dyDescent="0.25">
      <c r="A88" s="1" t="s">
        <v>16</v>
      </c>
      <c r="B88" s="1"/>
      <c r="C88" s="2">
        <v>109673</v>
      </c>
      <c r="D88" s="3" t="s">
        <v>169</v>
      </c>
      <c r="E88" s="4">
        <v>44840</v>
      </c>
      <c r="F88" s="4"/>
      <c r="G88" s="5" t="s">
        <v>57</v>
      </c>
      <c r="H88" s="2" t="s">
        <v>86</v>
      </c>
      <c r="I88" s="2" t="s">
        <v>22</v>
      </c>
      <c r="J88" s="6">
        <v>44326</v>
      </c>
      <c r="K88" s="6" t="s">
        <v>23</v>
      </c>
      <c r="L88" s="3" t="s">
        <v>97</v>
      </c>
      <c r="M88" s="3" t="s">
        <v>62</v>
      </c>
      <c r="N88" s="3">
        <v>7.6</v>
      </c>
      <c r="O88" s="7">
        <f>YEAR('Data sheet'!$E109)</f>
        <v>2021</v>
      </c>
      <c r="P88" s="7" t="str">
        <f t="shared" ca="1" si="2"/>
        <v>3+ years</v>
      </c>
    </row>
    <row r="89" spans="1:16" x14ac:dyDescent="0.25">
      <c r="A89" s="1" t="s">
        <v>16</v>
      </c>
      <c r="B89" s="1"/>
      <c r="C89" s="2">
        <v>138302</v>
      </c>
      <c r="D89" s="3" t="s">
        <v>170</v>
      </c>
      <c r="E89" s="4">
        <v>44847</v>
      </c>
      <c r="F89" s="4"/>
      <c r="G89" s="5" t="s">
        <v>57</v>
      </c>
      <c r="H89" s="2" t="s">
        <v>86</v>
      </c>
      <c r="I89" s="2" t="s">
        <v>22</v>
      </c>
      <c r="J89" s="6">
        <v>44433</v>
      </c>
      <c r="K89" s="6" t="s">
        <v>23</v>
      </c>
      <c r="L89" s="3" t="s">
        <v>97</v>
      </c>
      <c r="M89" s="3" t="s">
        <v>62</v>
      </c>
      <c r="N89" s="3">
        <v>6.2</v>
      </c>
      <c r="O89" s="7">
        <f>YEAR('Data sheet'!$E110)</f>
        <v>2021</v>
      </c>
      <c r="P89" s="7" t="str">
        <f t="shared" ca="1" si="2"/>
        <v>3+ years</v>
      </c>
    </row>
    <row r="90" spans="1:16" x14ac:dyDescent="0.25">
      <c r="A90" s="1" t="s">
        <v>136</v>
      </c>
      <c r="B90" s="1"/>
      <c r="C90" s="2">
        <v>126765</v>
      </c>
      <c r="D90" s="3" t="s">
        <v>171</v>
      </c>
      <c r="E90" s="4">
        <v>44868</v>
      </c>
      <c r="F90" s="4"/>
      <c r="G90" s="5" t="s">
        <v>38</v>
      </c>
      <c r="H90" s="2" t="s">
        <v>86</v>
      </c>
      <c r="I90" s="2" t="s">
        <v>22</v>
      </c>
      <c r="J90" s="6">
        <v>44217</v>
      </c>
      <c r="K90" s="6" t="s">
        <v>28</v>
      </c>
      <c r="L90" s="3" t="s">
        <v>29</v>
      </c>
      <c r="M90" s="3" t="s">
        <v>24</v>
      </c>
      <c r="N90" s="3">
        <v>15</v>
      </c>
      <c r="O90" s="7">
        <f>YEAR('Data sheet'!$E111)</f>
        <v>2022</v>
      </c>
      <c r="P90" s="7" t="str">
        <f t="shared" ca="1" si="2"/>
        <v>3+ years</v>
      </c>
    </row>
    <row r="91" spans="1:16" x14ac:dyDescent="0.25">
      <c r="A91" s="1" t="s">
        <v>136</v>
      </c>
      <c r="B91" s="1"/>
      <c r="C91" s="2">
        <v>188099</v>
      </c>
      <c r="D91" s="3" t="s">
        <v>172</v>
      </c>
      <c r="E91" s="4">
        <v>44901</v>
      </c>
      <c r="F91" s="4"/>
      <c r="G91" s="5" t="s">
        <v>38</v>
      </c>
      <c r="H91" s="2" t="s">
        <v>86</v>
      </c>
      <c r="I91" s="2" t="s">
        <v>22</v>
      </c>
      <c r="J91" s="6">
        <v>44332</v>
      </c>
      <c r="K91" s="6" t="s">
        <v>28</v>
      </c>
      <c r="L91" s="3" t="s">
        <v>29</v>
      </c>
      <c r="M91" s="3" t="s">
        <v>24</v>
      </c>
      <c r="N91" s="3">
        <v>16</v>
      </c>
      <c r="O91" s="7">
        <f>YEAR('Data sheet'!$E112)</f>
        <v>2022</v>
      </c>
      <c r="P91" s="7" t="str">
        <f t="shared" ca="1" si="2"/>
        <v>3+ years</v>
      </c>
    </row>
    <row r="92" spans="1:16" x14ac:dyDescent="0.25">
      <c r="A92" s="1" t="s">
        <v>16</v>
      </c>
      <c r="B92" s="1" t="s">
        <v>133</v>
      </c>
      <c r="C92" s="2">
        <v>115441</v>
      </c>
      <c r="D92" s="3" t="s">
        <v>173</v>
      </c>
      <c r="E92" s="4">
        <v>44958</v>
      </c>
      <c r="F92" s="4"/>
      <c r="G92" s="5" t="s">
        <v>38</v>
      </c>
      <c r="H92" s="2" t="s">
        <v>86</v>
      </c>
      <c r="I92" s="2" t="s">
        <v>22</v>
      </c>
      <c r="J92" s="6">
        <v>44377</v>
      </c>
      <c r="K92" s="6" t="s">
        <v>23</v>
      </c>
      <c r="L92" s="3" t="s">
        <v>97</v>
      </c>
      <c r="M92" s="3" t="s">
        <v>44</v>
      </c>
      <c r="N92" s="3">
        <v>1.5</v>
      </c>
      <c r="O92" s="7">
        <f>YEAR('Data sheet'!$E113)</f>
        <v>2022</v>
      </c>
      <c r="P92" s="7" t="str">
        <f t="shared" ca="1" si="2"/>
        <v>3+ years</v>
      </c>
    </row>
    <row r="93" spans="1:16" x14ac:dyDescent="0.25">
      <c r="A93" s="1" t="s">
        <v>16</v>
      </c>
      <c r="B93" s="1" t="s">
        <v>133</v>
      </c>
      <c r="C93" s="2">
        <v>169669</v>
      </c>
      <c r="D93" s="3" t="s">
        <v>174</v>
      </c>
      <c r="E93" s="4">
        <v>45027</v>
      </c>
      <c r="F93" s="4"/>
      <c r="G93" s="5" t="s">
        <v>38</v>
      </c>
      <c r="H93" s="2" t="s">
        <v>86</v>
      </c>
      <c r="I93" s="2" t="s">
        <v>39</v>
      </c>
      <c r="J93" s="6">
        <v>44639</v>
      </c>
      <c r="K93" s="6" t="s">
        <v>28</v>
      </c>
      <c r="L93" s="3" t="s">
        <v>29</v>
      </c>
      <c r="M93" s="3" t="s">
        <v>35</v>
      </c>
      <c r="N93" s="3">
        <v>6</v>
      </c>
      <c r="O93" s="7">
        <f>YEAR('Data sheet'!$E114)</f>
        <v>2022</v>
      </c>
      <c r="P93" s="7" t="str">
        <f t="shared" ca="1" si="2"/>
        <v>3+ years</v>
      </c>
    </row>
    <row r="94" spans="1:16" x14ac:dyDescent="0.25">
      <c r="A94" s="1" t="s">
        <v>16</v>
      </c>
      <c r="B94" s="1"/>
      <c r="C94" s="2">
        <v>100957</v>
      </c>
      <c r="D94" s="3" t="s">
        <v>175</v>
      </c>
      <c r="E94" s="4">
        <v>45036</v>
      </c>
      <c r="F94" s="4"/>
      <c r="G94" s="5" t="s">
        <v>38</v>
      </c>
      <c r="H94" s="2" t="s">
        <v>86</v>
      </c>
      <c r="I94" s="2" t="s">
        <v>39</v>
      </c>
      <c r="J94" s="6">
        <v>44632</v>
      </c>
      <c r="K94" s="6" t="s">
        <v>28</v>
      </c>
      <c r="L94" s="3" t="s">
        <v>29</v>
      </c>
      <c r="M94" s="3" t="s">
        <v>24</v>
      </c>
      <c r="N94" s="3">
        <v>8</v>
      </c>
      <c r="O94" s="7">
        <f>YEAR('Data sheet'!$E115)</f>
        <v>2022</v>
      </c>
      <c r="P94" s="7" t="str">
        <f t="shared" ca="1" si="2"/>
        <v>3+ years</v>
      </c>
    </row>
    <row r="95" spans="1:16" x14ac:dyDescent="0.25">
      <c r="A95" s="1" t="s">
        <v>25</v>
      </c>
      <c r="B95" s="1"/>
      <c r="C95" s="2" t="s">
        <v>36</v>
      </c>
      <c r="D95" s="3" t="s">
        <v>37</v>
      </c>
      <c r="E95" s="4">
        <v>44469</v>
      </c>
      <c r="F95" s="4">
        <v>44834</v>
      </c>
      <c r="G95" s="5" t="s">
        <v>38</v>
      </c>
      <c r="H95" s="2" t="s">
        <v>21</v>
      </c>
      <c r="I95" s="2" t="s">
        <v>39</v>
      </c>
      <c r="J95" s="6">
        <v>44297</v>
      </c>
      <c r="K95" s="6" t="s">
        <v>23</v>
      </c>
      <c r="L95" s="3" t="s">
        <v>21</v>
      </c>
      <c r="M95" s="3" t="s">
        <v>40</v>
      </c>
      <c r="N95" s="3">
        <v>0</v>
      </c>
      <c r="O95" s="7">
        <f>YEAR('Data sheet'!$E6)</f>
        <v>2025</v>
      </c>
      <c r="P95" s="7" t="str">
        <f t="shared" ca="1" si="2"/>
        <v>4+ years</v>
      </c>
    </row>
    <row r="96" spans="1:16" x14ac:dyDescent="0.25">
      <c r="A96" s="1" t="s">
        <v>25</v>
      </c>
      <c r="B96" s="1"/>
      <c r="C96" s="2" t="s">
        <v>41</v>
      </c>
      <c r="D96" s="3" t="s">
        <v>42</v>
      </c>
      <c r="E96" s="4">
        <v>44655</v>
      </c>
      <c r="F96" s="4">
        <v>44758</v>
      </c>
      <c r="G96" s="3" t="s">
        <v>43</v>
      </c>
      <c r="H96" s="2" t="s">
        <v>21</v>
      </c>
      <c r="I96" s="2" t="s">
        <v>22</v>
      </c>
      <c r="J96" s="6">
        <v>44431</v>
      </c>
      <c r="K96" s="6" t="s">
        <v>23</v>
      </c>
      <c r="L96" s="3" t="s">
        <v>21</v>
      </c>
      <c r="M96" s="3" t="s">
        <v>44</v>
      </c>
      <c r="N96" s="3">
        <v>2</v>
      </c>
      <c r="O96" s="7">
        <f>YEAR('Data sheet'!$E7)</f>
        <v>2025</v>
      </c>
      <c r="P96" s="7" t="str">
        <f t="shared" ca="1" si="2"/>
        <v>4+ years</v>
      </c>
    </row>
    <row r="97" spans="1:16" x14ac:dyDescent="0.25">
      <c r="A97" s="1" t="s">
        <v>16</v>
      </c>
      <c r="B97" s="1"/>
      <c r="C97" s="2">
        <v>132557</v>
      </c>
      <c r="D97" s="3" t="s">
        <v>132</v>
      </c>
      <c r="E97" s="4">
        <v>44343</v>
      </c>
      <c r="F97" s="4"/>
      <c r="G97" s="5" t="s">
        <v>38</v>
      </c>
      <c r="H97" s="2" t="s">
        <v>86</v>
      </c>
      <c r="I97" s="2" t="s">
        <v>39</v>
      </c>
      <c r="J97" s="6">
        <v>44429</v>
      </c>
      <c r="K97" s="6" t="s">
        <v>23</v>
      </c>
      <c r="L97" s="3" t="s">
        <v>29</v>
      </c>
      <c r="M97" s="3" t="s">
        <v>35</v>
      </c>
      <c r="N97" s="3">
        <v>7</v>
      </c>
      <c r="O97" s="7">
        <f>YEAR('Data sheet'!$E74)</f>
        <v>2022</v>
      </c>
      <c r="P97" s="7" t="str">
        <f t="shared" ca="1" si="2"/>
        <v>4+ years</v>
      </c>
    </row>
    <row r="98" spans="1:16" x14ac:dyDescent="0.25">
      <c r="A98" s="1" t="s">
        <v>25</v>
      </c>
      <c r="B98" s="1" t="s">
        <v>133</v>
      </c>
      <c r="C98" s="2">
        <v>187280</v>
      </c>
      <c r="D98" s="3" t="s">
        <v>134</v>
      </c>
      <c r="E98" s="4">
        <v>44418</v>
      </c>
      <c r="F98" s="4">
        <v>44611</v>
      </c>
      <c r="G98" s="5" t="s">
        <v>57</v>
      </c>
      <c r="H98" s="2" t="s">
        <v>86</v>
      </c>
      <c r="I98" s="2" t="s">
        <v>39</v>
      </c>
      <c r="J98" s="6">
        <v>44455</v>
      </c>
      <c r="K98" s="6" t="s">
        <v>23</v>
      </c>
      <c r="L98" s="3" t="s">
        <v>97</v>
      </c>
      <c r="M98" s="3" t="s">
        <v>24</v>
      </c>
      <c r="N98" s="3">
        <v>0</v>
      </c>
      <c r="O98" s="7">
        <f>YEAR('Data sheet'!$E75)</f>
        <v>2023</v>
      </c>
      <c r="P98" s="7" t="str">
        <f t="shared" ref="P98:P129" ca="1" si="3">IF(DATEDIF(E98,TODAY(),"Y")&gt;=5,"5+ years",
IF(DATEDIF(E98,TODAY(),"Y")&gt;=4,"4+ years",
IF(DATEDIF(E98,TODAY(),"Y")&gt;=3,"3+ years",
IF(DATEDIF(E98,TODAY(),"Y")&gt;=2,"2+ years",
IF(DATEDIF(E98,TODAY(),"Y")&gt;=1,"1+ years","&lt;1 year")))))</f>
        <v>4+ years</v>
      </c>
    </row>
    <row r="99" spans="1:16" x14ac:dyDescent="0.25">
      <c r="A99" s="1" t="s">
        <v>16</v>
      </c>
      <c r="B99" s="1" t="s">
        <v>133</v>
      </c>
      <c r="C99" s="2">
        <v>190396</v>
      </c>
      <c r="D99" s="3" t="s">
        <v>135</v>
      </c>
      <c r="E99" s="4">
        <v>44418</v>
      </c>
      <c r="F99" s="4"/>
      <c r="G99" s="5" t="s">
        <v>57</v>
      </c>
      <c r="H99" s="2" t="s">
        <v>86</v>
      </c>
      <c r="I99" s="2" t="s">
        <v>22</v>
      </c>
      <c r="J99" s="6">
        <v>44513</v>
      </c>
      <c r="K99" s="6" t="s">
        <v>23</v>
      </c>
      <c r="L99" s="3" t="s">
        <v>97</v>
      </c>
      <c r="M99" s="3" t="s">
        <v>24</v>
      </c>
      <c r="N99" s="3">
        <v>0</v>
      </c>
      <c r="O99" s="7">
        <f>YEAR('Data sheet'!$E76)</f>
        <v>2022</v>
      </c>
      <c r="P99" s="7" t="str">
        <f t="shared" ca="1" si="3"/>
        <v>4+ years</v>
      </c>
    </row>
    <row r="100" spans="1:16" x14ac:dyDescent="0.25">
      <c r="A100" s="1" t="s">
        <v>136</v>
      </c>
      <c r="B100" s="1"/>
      <c r="C100" s="2">
        <v>161242</v>
      </c>
      <c r="D100" s="3" t="s">
        <v>137</v>
      </c>
      <c r="E100" s="4">
        <v>44420</v>
      </c>
      <c r="F100" s="4"/>
      <c r="G100" s="3" t="s">
        <v>52</v>
      </c>
      <c r="H100" s="2" t="s">
        <v>86</v>
      </c>
      <c r="I100" s="2" t="s">
        <v>22</v>
      </c>
      <c r="J100" s="6">
        <v>44556</v>
      </c>
      <c r="K100" s="6" t="s">
        <v>28</v>
      </c>
      <c r="L100" s="3" t="s">
        <v>29</v>
      </c>
      <c r="M100" s="3" t="s">
        <v>24</v>
      </c>
      <c r="N100" s="3">
        <v>10</v>
      </c>
      <c r="O100" s="7">
        <f>YEAR('Data sheet'!$E77)</f>
        <v>2022</v>
      </c>
      <c r="P100" s="7" t="str">
        <f t="shared" ca="1" si="3"/>
        <v>4+ years</v>
      </c>
    </row>
    <row r="101" spans="1:16" x14ac:dyDescent="0.25">
      <c r="A101" s="1" t="s">
        <v>25</v>
      </c>
      <c r="B101" s="1"/>
      <c r="C101" s="2">
        <v>156965</v>
      </c>
      <c r="D101" s="3" t="s">
        <v>138</v>
      </c>
      <c r="E101" s="4">
        <v>44425</v>
      </c>
      <c r="F101" s="4">
        <v>44636</v>
      </c>
      <c r="G101" s="5" t="s">
        <v>57</v>
      </c>
      <c r="H101" s="2" t="s">
        <v>86</v>
      </c>
      <c r="I101" s="2" t="s">
        <v>39</v>
      </c>
      <c r="J101" s="6">
        <v>44247</v>
      </c>
      <c r="K101" s="6" t="s">
        <v>28</v>
      </c>
      <c r="L101" s="3" t="s">
        <v>29</v>
      </c>
      <c r="M101" s="3" t="s">
        <v>24</v>
      </c>
      <c r="N101" s="3">
        <v>11</v>
      </c>
      <c r="O101" s="7">
        <f>YEAR('Data sheet'!$E78)</f>
        <v>2022</v>
      </c>
      <c r="P101" s="7" t="str">
        <f t="shared" ca="1" si="3"/>
        <v>4+ years</v>
      </c>
    </row>
    <row r="102" spans="1:16" x14ac:dyDescent="0.25">
      <c r="A102" s="1" t="s">
        <v>25</v>
      </c>
      <c r="B102" s="1"/>
      <c r="C102" s="2">
        <v>192455</v>
      </c>
      <c r="D102" s="3" t="s">
        <v>139</v>
      </c>
      <c r="E102" s="4">
        <v>44440</v>
      </c>
      <c r="F102" s="4">
        <v>44233</v>
      </c>
      <c r="G102" s="5" t="s">
        <v>20</v>
      </c>
      <c r="H102" s="2" t="s">
        <v>86</v>
      </c>
      <c r="I102" s="2" t="s">
        <v>22</v>
      </c>
      <c r="J102" s="6">
        <v>44338</v>
      </c>
      <c r="K102" s="6" t="s">
        <v>28</v>
      </c>
      <c r="L102" s="3" t="s">
        <v>29</v>
      </c>
      <c r="M102" s="3" t="s">
        <v>44</v>
      </c>
      <c r="N102" s="3">
        <v>8</v>
      </c>
      <c r="O102" s="7">
        <f>YEAR('Data sheet'!$E79)</f>
        <v>2022</v>
      </c>
      <c r="P102" s="7" t="str">
        <f t="shared" ca="1" si="3"/>
        <v>4+ years</v>
      </c>
    </row>
    <row r="103" spans="1:16" x14ac:dyDescent="0.25">
      <c r="A103" s="1" t="s">
        <v>25</v>
      </c>
      <c r="B103" s="1"/>
      <c r="C103" s="2">
        <v>174038</v>
      </c>
      <c r="D103" s="3" t="s">
        <v>140</v>
      </c>
      <c r="E103" s="4">
        <v>44440</v>
      </c>
      <c r="F103" s="4">
        <v>44282</v>
      </c>
      <c r="G103" s="5" t="s">
        <v>57</v>
      </c>
      <c r="H103" s="2" t="s">
        <v>86</v>
      </c>
      <c r="I103" s="2" t="s">
        <v>39</v>
      </c>
      <c r="J103" s="6">
        <v>44540</v>
      </c>
      <c r="K103" s="6" t="s">
        <v>28</v>
      </c>
      <c r="L103" s="3" t="s">
        <v>29</v>
      </c>
      <c r="M103" s="3" t="s">
        <v>30</v>
      </c>
      <c r="N103" s="3">
        <v>12</v>
      </c>
      <c r="O103" s="7">
        <f>YEAR('Data sheet'!$E80)</f>
        <v>2022</v>
      </c>
      <c r="P103" s="7" t="str">
        <f t="shared" ca="1" si="3"/>
        <v>4+ years</v>
      </c>
    </row>
    <row r="104" spans="1:16" x14ac:dyDescent="0.25">
      <c r="A104" s="1" t="s">
        <v>16</v>
      </c>
      <c r="B104" s="1"/>
      <c r="C104" s="2">
        <v>129765</v>
      </c>
      <c r="D104" s="3" t="s">
        <v>141</v>
      </c>
      <c r="E104" s="4">
        <v>44440</v>
      </c>
      <c r="F104" s="4"/>
      <c r="G104" s="5" t="s">
        <v>20</v>
      </c>
      <c r="H104" s="2" t="s">
        <v>86</v>
      </c>
      <c r="I104" s="2" t="s">
        <v>22</v>
      </c>
      <c r="J104" s="6">
        <v>44211</v>
      </c>
      <c r="K104" s="6" t="s">
        <v>23</v>
      </c>
      <c r="L104" s="3" t="s">
        <v>29</v>
      </c>
      <c r="M104" s="3" t="s">
        <v>24</v>
      </c>
      <c r="N104" s="3">
        <v>5</v>
      </c>
      <c r="O104" s="7">
        <f>YEAR('Data sheet'!$E81)</f>
        <v>2022</v>
      </c>
      <c r="P104" s="7" t="str">
        <f t="shared" ca="1" si="3"/>
        <v>4+ years</v>
      </c>
    </row>
    <row r="105" spans="1:16" x14ac:dyDescent="0.25">
      <c r="A105" s="1" t="s">
        <v>16</v>
      </c>
      <c r="B105" s="1"/>
      <c r="C105" s="2">
        <v>154732</v>
      </c>
      <c r="D105" s="3" t="s">
        <v>142</v>
      </c>
      <c r="E105" s="4">
        <v>44448</v>
      </c>
      <c r="F105" s="4"/>
      <c r="G105" s="5" t="s">
        <v>65</v>
      </c>
      <c r="H105" s="2" t="s">
        <v>86</v>
      </c>
      <c r="I105" s="2" t="s">
        <v>39</v>
      </c>
      <c r="J105" s="6">
        <v>44507</v>
      </c>
      <c r="K105" s="6" t="s">
        <v>23</v>
      </c>
      <c r="L105" s="3" t="s">
        <v>97</v>
      </c>
      <c r="M105" s="3" t="s">
        <v>24</v>
      </c>
      <c r="N105" s="3">
        <v>0</v>
      </c>
      <c r="O105" s="7">
        <f>YEAR('Data sheet'!$E82)</f>
        <v>2022</v>
      </c>
      <c r="P105" s="7" t="str">
        <f t="shared" ca="1" si="3"/>
        <v>4+ years</v>
      </c>
    </row>
    <row r="106" spans="1:16" x14ac:dyDescent="0.25">
      <c r="A106" s="1" t="s">
        <v>16</v>
      </c>
      <c r="B106" s="1"/>
      <c r="C106" s="2">
        <v>137413</v>
      </c>
      <c r="D106" s="3" t="s">
        <v>143</v>
      </c>
      <c r="E106" s="4">
        <v>44455</v>
      </c>
      <c r="F106" s="4"/>
      <c r="G106" s="5" t="s">
        <v>65</v>
      </c>
      <c r="H106" s="2" t="s">
        <v>86</v>
      </c>
      <c r="I106" s="2" t="s">
        <v>22</v>
      </c>
      <c r="J106" s="6">
        <v>44220</v>
      </c>
      <c r="K106" s="6" t="s">
        <v>23</v>
      </c>
      <c r="L106" s="3" t="s">
        <v>89</v>
      </c>
      <c r="M106" s="3" t="s">
        <v>24</v>
      </c>
      <c r="N106" s="3">
        <v>9</v>
      </c>
      <c r="O106" s="7">
        <f>YEAR('Data sheet'!$E83)</f>
        <v>2022</v>
      </c>
      <c r="P106" s="7" t="str">
        <f t="shared" ca="1" si="3"/>
        <v>4+ years</v>
      </c>
    </row>
    <row r="107" spans="1:16" x14ac:dyDescent="0.25">
      <c r="A107" s="1" t="s">
        <v>16</v>
      </c>
      <c r="B107" s="1"/>
      <c r="C107" s="2">
        <v>185734</v>
      </c>
      <c r="D107" s="3" t="s">
        <v>144</v>
      </c>
      <c r="E107" s="4">
        <v>44455</v>
      </c>
      <c r="F107" s="4"/>
      <c r="G107" s="5" t="s">
        <v>57</v>
      </c>
      <c r="H107" s="2" t="s">
        <v>86</v>
      </c>
      <c r="I107" s="2" t="s">
        <v>22</v>
      </c>
      <c r="J107" s="6">
        <v>44536</v>
      </c>
      <c r="K107" s="6" t="s">
        <v>23</v>
      </c>
      <c r="L107" s="3" t="s">
        <v>97</v>
      </c>
      <c r="M107" s="3" t="s">
        <v>49</v>
      </c>
      <c r="N107" s="3">
        <v>0</v>
      </c>
      <c r="O107" s="7">
        <f>YEAR('Data sheet'!$E84)</f>
        <v>2022</v>
      </c>
      <c r="P107" s="7" t="str">
        <f t="shared" ca="1" si="3"/>
        <v>4+ years</v>
      </c>
    </row>
    <row r="108" spans="1:16" x14ac:dyDescent="0.25">
      <c r="A108" s="1" t="s">
        <v>16</v>
      </c>
      <c r="B108" s="1"/>
      <c r="C108" s="2">
        <v>142749</v>
      </c>
      <c r="D108" s="3" t="s">
        <v>145</v>
      </c>
      <c r="E108" s="4">
        <v>44469</v>
      </c>
      <c r="F108" s="4"/>
      <c r="G108" s="5" t="s">
        <v>57</v>
      </c>
      <c r="H108" s="2" t="s">
        <v>86</v>
      </c>
      <c r="I108" s="2" t="s">
        <v>22</v>
      </c>
      <c r="J108" s="6">
        <v>44381</v>
      </c>
      <c r="K108" s="6" t="s">
        <v>23</v>
      </c>
      <c r="L108" s="3" t="s">
        <v>29</v>
      </c>
      <c r="M108" s="3" t="s">
        <v>24</v>
      </c>
      <c r="N108" s="3">
        <v>17</v>
      </c>
      <c r="O108" s="7">
        <f>YEAR('Data sheet'!$E85)</f>
        <v>2022</v>
      </c>
      <c r="P108" s="7" t="str">
        <f t="shared" ca="1" si="3"/>
        <v>4+ years</v>
      </c>
    </row>
    <row r="109" spans="1:16" x14ac:dyDescent="0.25">
      <c r="A109" s="1" t="s">
        <v>25</v>
      </c>
      <c r="B109" s="1"/>
      <c r="C109" s="2">
        <v>116657</v>
      </c>
      <c r="D109" s="3" t="s">
        <v>146</v>
      </c>
      <c r="E109" s="4">
        <v>44490</v>
      </c>
      <c r="F109" s="4">
        <v>44740</v>
      </c>
      <c r="G109" s="5" t="s">
        <v>57</v>
      </c>
      <c r="H109" s="2" t="s">
        <v>86</v>
      </c>
      <c r="I109" s="2" t="s">
        <v>22</v>
      </c>
      <c r="J109" s="6">
        <v>44300</v>
      </c>
      <c r="K109" s="6" t="s">
        <v>23</v>
      </c>
      <c r="L109" s="3" t="s">
        <v>29</v>
      </c>
      <c r="M109" s="3" t="s">
        <v>24</v>
      </c>
      <c r="N109" s="3">
        <v>4.5999999999999996</v>
      </c>
      <c r="O109" s="7">
        <f>YEAR('Data sheet'!$E86)</f>
        <v>2022</v>
      </c>
      <c r="P109" s="7" t="str">
        <f t="shared" ca="1" si="3"/>
        <v>4+ years</v>
      </c>
    </row>
    <row r="110" spans="1:16" x14ac:dyDescent="0.25">
      <c r="A110" s="1" t="s">
        <v>16</v>
      </c>
      <c r="B110" s="1"/>
      <c r="C110" s="2">
        <v>144530</v>
      </c>
      <c r="D110" s="3" t="s">
        <v>147</v>
      </c>
      <c r="E110" s="4">
        <v>44518</v>
      </c>
      <c r="F110" s="4"/>
      <c r="G110" s="5" t="s">
        <v>57</v>
      </c>
      <c r="H110" s="2" t="s">
        <v>86</v>
      </c>
      <c r="I110" s="2" t="s">
        <v>22</v>
      </c>
      <c r="J110" s="6">
        <v>44275</v>
      </c>
      <c r="K110" s="6" t="s">
        <v>23</v>
      </c>
      <c r="L110" s="3" t="s">
        <v>29</v>
      </c>
      <c r="M110" s="3" t="s">
        <v>62</v>
      </c>
      <c r="N110" s="3">
        <v>14</v>
      </c>
      <c r="O110" s="7">
        <f>YEAR('Data sheet'!$E87)</f>
        <v>2022</v>
      </c>
      <c r="P110" s="7" t="str">
        <f t="shared" ca="1" si="3"/>
        <v>4+ years</v>
      </c>
    </row>
    <row r="111" spans="1:16" x14ac:dyDescent="0.25">
      <c r="A111" s="1" t="s">
        <v>16</v>
      </c>
      <c r="B111" s="1"/>
      <c r="C111" s="2">
        <v>101259</v>
      </c>
      <c r="D111" s="3" t="s">
        <v>148</v>
      </c>
      <c r="E111" s="4">
        <v>44616</v>
      </c>
      <c r="F111" s="4"/>
      <c r="G111" s="5" t="s">
        <v>38</v>
      </c>
      <c r="H111" s="2" t="s">
        <v>86</v>
      </c>
      <c r="I111" s="2" t="s">
        <v>22</v>
      </c>
      <c r="J111" s="6">
        <v>44527</v>
      </c>
      <c r="K111" s="6" t="s">
        <v>28</v>
      </c>
      <c r="L111" s="3" t="s">
        <v>89</v>
      </c>
      <c r="M111" s="3" t="s">
        <v>24</v>
      </c>
      <c r="N111" s="3">
        <v>12</v>
      </c>
      <c r="O111" s="7">
        <f>YEAR('Data sheet'!$E88)</f>
        <v>2022</v>
      </c>
      <c r="P111" s="7" t="str">
        <f t="shared" ca="1" si="3"/>
        <v>4+ years</v>
      </c>
    </row>
    <row r="112" spans="1:16" x14ac:dyDescent="0.25">
      <c r="A112" s="1" t="s">
        <v>16</v>
      </c>
      <c r="B112" s="1"/>
      <c r="C112" s="2">
        <v>122323</v>
      </c>
      <c r="D112" s="3" t="s">
        <v>149</v>
      </c>
      <c r="E112" s="4">
        <v>44623</v>
      </c>
      <c r="F112" s="4"/>
      <c r="G112" s="3" t="s">
        <v>43</v>
      </c>
      <c r="H112" s="2" t="s">
        <v>86</v>
      </c>
      <c r="I112" s="2" t="s">
        <v>39</v>
      </c>
      <c r="J112" s="6">
        <v>44426</v>
      </c>
      <c r="K112" s="6" t="s">
        <v>28</v>
      </c>
      <c r="L112" s="3" t="s">
        <v>29</v>
      </c>
      <c r="M112" s="3" t="s">
        <v>62</v>
      </c>
      <c r="N112" s="3">
        <v>14</v>
      </c>
      <c r="O112" s="7">
        <f>YEAR('Data sheet'!$E89)</f>
        <v>2022</v>
      </c>
      <c r="P112" s="7" t="str">
        <f t="shared" ca="1" si="3"/>
        <v>4+ years</v>
      </c>
    </row>
    <row r="113" spans="1:16" x14ac:dyDescent="0.25">
      <c r="A113" s="1" t="s">
        <v>16</v>
      </c>
      <c r="B113" s="1"/>
      <c r="C113" s="2">
        <v>136489</v>
      </c>
      <c r="D113" s="3" t="s">
        <v>150</v>
      </c>
      <c r="E113" s="4">
        <v>44637</v>
      </c>
      <c r="F113" s="4"/>
      <c r="G113" s="5" t="s">
        <v>57</v>
      </c>
      <c r="H113" s="2" t="s">
        <v>86</v>
      </c>
      <c r="I113" s="2" t="s">
        <v>22</v>
      </c>
      <c r="J113" s="6">
        <v>44230</v>
      </c>
      <c r="K113" s="6" t="s">
        <v>28</v>
      </c>
      <c r="L113" s="3" t="s">
        <v>29</v>
      </c>
      <c r="M113" s="3" t="s">
        <v>62</v>
      </c>
      <c r="N113" s="3">
        <v>5.3</v>
      </c>
      <c r="O113" s="7">
        <f>YEAR('Data sheet'!$E90)</f>
        <v>2022</v>
      </c>
      <c r="P113" s="7" t="str">
        <f t="shared" ca="1" si="3"/>
        <v>4+ years</v>
      </c>
    </row>
    <row r="114" spans="1:16" x14ac:dyDescent="0.25">
      <c r="A114" s="1" t="s">
        <v>16</v>
      </c>
      <c r="B114" s="1"/>
      <c r="C114" s="2">
        <v>107161</v>
      </c>
      <c r="D114" s="3" t="s">
        <v>151</v>
      </c>
      <c r="E114" s="4">
        <v>44644</v>
      </c>
      <c r="F114" s="4"/>
      <c r="G114" s="5" t="s">
        <v>20</v>
      </c>
      <c r="H114" s="2" t="s">
        <v>86</v>
      </c>
      <c r="I114" s="2" t="s">
        <v>39</v>
      </c>
      <c r="J114" s="6">
        <v>44402</v>
      </c>
      <c r="K114" s="6" t="s">
        <v>23</v>
      </c>
      <c r="L114" s="3" t="s">
        <v>97</v>
      </c>
      <c r="M114" s="3" t="s">
        <v>62</v>
      </c>
      <c r="N114" s="3">
        <v>2.5</v>
      </c>
      <c r="O114" s="7">
        <f>YEAR('Data sheet'!$E91)</f>
        <v>2022</v>
      </c>
      <c r="P114" s="7" t="str">
        <f t="shared" ca="1" si="3"/>
        <v>4+ years</v>
      </c>
    </row>
    <row r="115" spans="1:16" x14ac:dyDescent="0.25">
      <c r="A115" s="1" t="s">
        <v>16</v>
      </c>
      <c r="B115" s="1"/>
      <c r="C115" s="2">
        <v>182061</v>
      </c>
      <c r="D115" s="3" t="s">
        <v>152</v>
      </c>
      <c r="E115" s="4">
        <v>44644</v>
      </c>
      <c r="F115" s="4"/>
      <c r="G115" s="5" t="s">
        <v>57</v>
      </c>
      <c r="H115" s="2" t="s">
        <v>86</v>
      </c>
      <c r="I115" s="2" t="s">
        <v>22</v>
      </c>
      <c r="J115" s="6">
        <v>44322</v>
      </c>
      <c r="K115" s="6" t="s">
        <v>23</v>
      </c>
      <c r="L115" s="3" t="s">
        <v>29</v>
      </c>
      <c r="M115" s="3" t="s">
        <v>62</v>
      </c>
      <c r="N115" s="3">
        <v>2.11</v>
      </c>
      <c r="O115" s="7">
        <f>YEAR('Data sheet'!$E92)</f>
        <v>2023</v>
      </c>
      <c r="P115" s="7" t="str">
        <f t="shared" ca="1" si="3"/>
        <v>4+ years</v>
      </c>
    </row>
    <row r="116" spans="1:16" x14ac:dyDescent="0.25">
      <c r="A116" s="1" t="s">
        <v>16</v>
      </c>
      <c r="B116" s="1"/>
      <c r="C116" s="2">
        <v>123190</v>
      </c>
      <c r="D116" s="3" t="s">
        <v>153</v>
      </c>
      <c r="E116" s="4">
        <v>44658</v>
      </c>
      <c r="F116" s="4"/>
      <c r="G116" s="5" t="s">
        <v>57</v>
      </c>
      <c r="H116" s="2" t="s">
        <v>86</v>
      </c>
      <c r="I116" s="2" t="s">
        <v>39</v>
      </c>
      <c r="J116" s="6">
        <v>44214</v>
      </c>
      <c r="K116" s="6" t="s">
        <v>23</v>
      </c>
      <c r="L116" s="3" t="s">
        <v>97</v>
      </c>
      <c r="M116" s="3" t="s">
        <v>62</v>
      </c>
      <c r="N116" s="3">
        <v>0</v>
      </c>
      <c r="O116" s="7">
        <f>YEAR('Data sheet'!$E93)</f>
        <v>2023</v>
      </c>
      <c r="P116" s="7" t="str">
        <f t="shared" ca="1" si="3"/>
        <v>4+ years</v>
      </c>
    </row>
    <row r="117" spans="1:16" x14ac:dyDescent="0.25">
      <c r="A117" s="1" t="s">
        <v>16</v>
      </c>
      <c r="B117" s="1"/>
      <c r="C117" s="2">
        <v>118638</v>
      </c>
      <c r="D117" s="3" t="s">
        <v>154</v>
      </c>
      <c r="E117" s="4">
        <v>44658</v>
      </c>
      <c r="F117" s="4"/>
      <c r="G117" s="5" t="s">
        <v>57</v>
      </c>
      <c r="H117" s="2" t="s">
        <v>86</v>
      </c>
      <c r="I117" s="2" t="s">
        <v>22</v>
      </c>
      <c r="J117" s="6">
        <v>44524</v>
      </c>
      <c r="K117" s="6" t="s">
        <v>28</v>
      </c>
      <c r="L117" s="3" t="s">
        <v>29</v>
      </c>
      <c r="M117" s="3" t="s">
        <v>62</v>
      </c>
      <c r="N117" s="3">
        <v>15</v>
      </c>
      <c r="O117" s="7">
        <f>YEAR('Data sheet'!$E94)</f>
        <v>2023</v>
      </c>
      <c r="P117" s="7" t="str">
        <f t="shared" ca="1" si="3"/>
        <v>4+ years</v>
      </c>
    </row>
    <row r="118" spans="1:16" x14ac:dyDescent="0.25">
      <c r="A118" s="1" t="s">
        <v>16</v>
      </c>
      <c r="B118" s="1"/>
      <c r="C118" s="2">
        <v>132330</v>
      </c>
      <c r="D118" s="3" t="s">
        <v>155</v>
      </c>
      <c r="E118" s="4">
        <v>44665</v>
      </c>
      <c r="F118" s="4"/>
      <c r="G118" s="3" t="s">
        <v>52</v>
      </c>
      <c r="H118" s="2" t="s">
        <v>86</v>
      </c>
      <c r="I118" s="2" t="s">
        <v>22</v>
      </c>
      <c r="J118" s="6">
        <v>44483</v>
      </c>
      <c r="K118" s="6" t="s">
        <v>28</v>
      </c>
      <c r="L118" s="3" t="s">
        <v>89</v>
      </c>
      <c r="M118" s="3" t="s">
        <v>49</v>
      </c>
      <c r="N118" s="3">
        <v>14</v>
      </c>
      <c r="O118" s="7">
        <f>YEAR('Data sheet'!$E95)</f>
        <v>2021</v>
      </c>
      <c r="P118" s="7" t="str">
        <f t="shared" ca="1" si="3"/>
        <v>4+ years</v>
      </c>
    </row>
    <row r="119" spans="1:16" x14ac:dyDescent="0.25">
      <c r="A119" s="1" t="s">
        <v>16</v>
      </c>
      <c r="B119" s="1"/>
      <c r="C119" s="2">
        <v>191594</v>
      </c>
      <c r="D119" s="3" t="s">
        <v>156</v>
      </c>
      <c r="E119" s="4">
        <v>44670</v>
      </c>
      <c r="F119" s="4"/>
      <c r="G119" s="3" t="s">
        <v>43</v>
      </c>
      <c r="H119" s="2" t="s">
        <v>86</v>
      </c>
      <c r="I119" s="2" t="s">
        <v>22</v>
      </c>
      <c r="J119" s="6">
        <v>44446</v>
      </c>
      <c r="K119" s="6" t="s">
        <v>28</v>
      </c>
      <c r="L119" s="3" t="s">
        <v>29</v>
      </c>
      <c r="M119" s="3" t="s">
        <v>24</v>
      </c>
      <c r="N119" s="3">
        <v>8</v>
      </c>
      <c r="O119" s="7">
        <f>YEAR('Data sheet'!$E96)</f>
        <v>2022</v>
      </c>
      <c r="P119" s="7" t="str">
        <f t="shared" ca="1" si="3"/>
        <v>4+ years</v>
      </c>
    </row>
    <row r="120" spans="1:16" x14ac:dyDescent="0.25">
      <c r="A120" s="1" t="s">
        <v>16</v>
      </c>
      <c r="B120" s="1" t="s">
        <v>17</v>
      </c>
      <c r="C120" s="2" t="s">
        <v>18</v>
      </c>
      <c r="D120" s="3" t="s">
        <v>19</v>
      </c>
      <c r="E120" s="4">
        <v>43950</v>
      </c>
      <c r="F120" s="4"/>
      <c r="G120" s="5" t="s">
        <v>20</v>
      </c>
      <c r="H120" s="2" t="s">
        <v>232</v>
      </c>
      <c r="I120" s="2" t="s">
        <v>22</v>
      </c>
      <c r="J120" s="6">
        <v>44390</v>
      </c>
      <c r="K120" s="6" t="s">
        <v>23</v>
      </c>
      <c r="L120" s="3" t="s">
        <v>21</v>
      </c>
      <c r="M120" s="3" t="s">
        <v>24</v>
      </c>
      <c r="N120" s="3">
        <v>0</v>
      </c>
      <c r="O120" s="7">
        <f>YEAR('Data sheet'!$E2)</f>
        <v>2025</v>
      </c>
      <c r="P120" s="7" t="str">
        <f t="shared" ca="1" si="3"/>
        <v>5+ years</v>
      </c>
    </row>
    <row r="121" spans="1:16" x14ac:dyDescent="0.25">
      <c r="A121" s="1" t="s">
        <v>25</v>
      </c>
      <c r="B121" s="1"/>
      <c r="C121" s="2" t="s">
        <v>26</v>
      </c>
      <c r="D121" s="3" t="s">
        <v>27</v>
      </c>
      <c r="E121" s="4">
        <v>44075</v>
      </c>
      <c r="F121" s="4">
        <v>44183</v>
      </c>
      <c r="G121" s="5" t="s">
        <v>20</v>
      </c>
      <c r="H121" s="2" t="s">
        <v>21</v>
      </c>
      <c r="I121" s="2" t="s">
        <v>22</v>
      </c>
      <c r="J121" s="6">
        <v>44472</v>
      </c>
      <c r="K121" s="6" t="s">
        <v>28</v>
      </c>
      <c r="L121" s="3" t="s">
        <v>29</v>
      </c>
      <c r="M121" s="3" t="s">
        <v>30</v>
      </c>
      <c r="N121" s="3">
        <v>6.5</v>
      </c>
      <c r="O121" s="7">
        <f>YEAR('Data sheet'!$E3)</f>
        <v>2025</v>
      </c>
      <c r="P121" s="7" t="str">
        <f t="shared" ca="1" si="3"/>
        <v>5+ years</v>
      </c>
    </row>
    <row r="122" spans="1:16" x14ac:dyDescent="0.25">
      <c r="A122" s="1" t="s">
        <v>16</v>
      </c>
      <c r="B122" s="1"/>
      <c r="C122" s="2" t="s">
        <v>31</v>
      </c>
      <c r="D122" s="3" t="s">
        <v>32</v>
      </c>
      <c r="E122" s="4">
        <v>44197</v>
      </c>
      <c r="F122" s="4"/>
      <c r="G122" s="5" t="s">
        <v>20</v>
      </c>
      <c r="H122" s="2" t="s">
        <v>21</v>
      </c>
      <c r="I122" s="2" t="s">
        <v>22</v>
      </c>
      <c r="J122" s="6">
        <v>44236</v>
      </c>
      <c r="K122" s="6" t="s">
        <v>23</v>
      </c>
      <c r="L122" s="3" t="s">
        <v>21</v>
      </c>
      <c r="M122" s="3" t="s">
        <v>24</v>
      </c>
      <c r="N122" s="3">
        <v>4.8</v>
      </c>
      <c r="O122" s="7">
        <f>YEAR('Data sheet'!$E4)</f>
        <v>2025</v>
      </c>
      <c r="P122" s="7" t="str">
        <f t="shared" ca="1" si="3"/>
        <v>5+ years</v>
      </c>
    </row>
    <row r="123" spans="1:16" x14ac:dyDescent="0.25">
      <c r="A123" s="1" t="s">
        <v>16</v>
      </c>
      <c r="B123" s="1"/>
      <c r="C123" s="2" t="s">
        <v>33</v>
      </c>
      <c r="D123" s="3" t="s">
        <v>34</v>
      </c>
      <c r="E123" s="4">
        <v>44236</v>
      </c>
      <c r="F123" s="4"/>
      <c r="G123" s="5" t="s">
        <v>20</v>
      </c>
      <c r="H123" s="2" t="s">
        <v>21</v>
      </c>
      <c r="I123" s="2" t="s">
        <v>22</v>
      </c>
      <c r="J123" s="6">
        <v>44269</v>
      </c>
      <c r="K123" s="6" t="s">
        <v>23</v>
      </c>
      <c r="L123" s="3" t="s">
        <v>21</v>
      </c>
      <c r="M123" s="3" t="s">
        <v>35</v>
      </c>
      <c r="N123" s="3">
        <v>14</v>
      </c>
      <c r="O123" s="7">
        <f>YEAR('Data sheet'!$E5)</f>
        <v>2024</v>
      </c>
      <c r="P123" s="7" t="str">
        <f t="shared" ca="1" si="3"/>
        <v>5+ years</v>
      </c>
    </row>
    <row r="124" spans="1:16" x14ac:dyDescent="0.25">
      <c r="A124" s="1" t="s">
        <v>16</v>
      </c>
      <c r="B124" s="1" t="s">
        <v>17</v>
      </c>
      <c r="C124" s="2">
        <v>107224</v>
      </c>
      <c r="D124" s="3" t="s">
        <v>85</v>
      </c>
      <c r="E124" s="4">
        <v>43867</v>
      </c>
      <c r="F124" s="4"/>
      <c r="G124" s="5" t="s">
        <v>20</v>
      </c>
      <c r="H124" s="2" t="s">
        <v>86</v>
      </c>
      <c r="I124" s="2" t="s">
        <v>22</v>
      </c>
      <c r="J124" s="6">
        <v>44433</v>
      </c>
      <c r="K124" s="6" t="s">
        <v>23</v>
      </c>
      <c r="L124" s="3" t="s">
        <v>29</v>
      </c>
      <c r="M124" s="3" t="s">
        <v>24</v>
      </c>
      <c r="N124" s="3">
        <v>13</v>
      </c>
      <c r="O124" s="7">
        <f>YEAR('Data sheet'!$E25)</f>
        <v>2023</v>
      </c>
      <c r="P124" s="7" t="str">
        <f t="shared" ca="1" si="3"/>
        <v>5+ years</v>
      </c>
    </row>
    <row r="125" spans="1:16" x14ac:dyDescent="0.25">
      <c r="A125" s="1" t="s">
        <v>25</v>
      </c>
      <c r="B125" s="1" t="s">
        <v>17</v>
      </c>
      <c r="C125" s="2">
        <v>148467</v>
      </c>
      <c r="D125" s="3" t="s">
        <v>87</v>
      </c>
      <c r="E125" s="4">
        <v>43869</v>
      </c>
      <c r="F125" s="4">
        <v>45473</v>
      </c>
      <c r="G125" s="3" t="s">
        <v>80</v>
      </c>
      <c r="H125" s="2" t="s">
        <v>86</v>
      </c>
      <c r="I125" s="2" t="s">
        <v>39</v>
      </c>
      <c r="J125" s="6">
        <v>44494</v>
      </c>
      <c r="K125" s="6" t="s">
        <v>23</v>
      </c>
      <c r="L125" s="3" t="s">
        <v>29</v>
      </c>
      <c r="M125" s="3" t="s">
        <v>30</v>
      </c>
      <c r="N125" s="3">
        <v>5</v>
      </c>
      <c r="O125" s="7">
        <f>YEAR('Data sheet'!$E26)</f>
        <v>2023</v>
      </c>
      <c r="P125" s="7" t="str">
        <f t="shared" ca="1" si="3"/>
        <v>5+ years</v>
      </c>
    </row>
    <row r="126" spans="1:16" x14ac:dyDescent="0.25">
      <c r="A126" s="1" t="s">
        <v>25</v>
      </c>
      <c r="B126" s="1"/>
      <c r="C126" s="2">
        <v>114416</v>
      </c>
      <c r="D126" s="3" t="s">
        <v>88</v>
      </c>
      <c r="E126" s="4">
        <v>43874</v>
      </c>
      <c r="F126" s="4">
        <v>45300</v>
      </c>
      <c r="G126" s="5" t="s">
        <v>65</v>
      </c>
      <c r="H126" s="2" t="s">
        <v>86</v>
      </c>
      <c r="I126" s="2" t="s">
        <v>22</v>
      </c>
      <c r="J126" s="6">
        <v>44524</v>
      </c>
      <c r="K126" s="6" t="s">
        <v>28</v>
      </c>
      <c r="L126" s="3" t="s">
        <v>89</v>
      </c>
      <c r="M126" s="3" t="s">
        <v>44</v>
      </c>
      <c r="N126" s="3">
        <v>8</v>
      </c>
      <c r="O126" s="7">
        <f>YEAR('Data sheet'!$E27)</f>
        <v>2023</v>
      </c>
      <c r="P126" s="7" t="str">
        <f t="shared" ca="1" si="3"/>
        <v>5+ years</v>
      </c>
    </row>
    <row r="127" spans="1:16" x14ac:dyDescent="0.25">
      <c r="A127" s="1" t="s">
        <v>16</v>
      </c>
      <c r="B127" s="1"/>
      <c r="C127" s="2">
        <v>189095</v>
      </c>
      <c r="D127" s="3" t="s">
        <v>90</v>
      </c>
      <c r="E127" s="4">
        <v>43887</v>
      </c>
      <c r="F127" s="4"/>
      <c r="G127" s="5" t="s">
        <v>65</v>
      </c>
      <c r="H127" s="2" t="s">
        <v>86</v>
      </c>
      <c r="I127" s="2" t="s">
        <v>22</v>
      </c>
      <c r="J127" s="6">
        <v>44504</v>
      </c>
      <c r="K127" s="6" t="s">
        <v>23</v>
      </c>
      <c r="L127" s="3" t="s">
        <v>89</v>
      </c>
      <c r="M127" s="3" t="s">
        <v>24</v>
      </c>
      <c r="N127" s="3">
        <v>17</v>
      </c>
      <c r="O127" s="7">
        <f>YEAR('Data sheet'!$E28)</f>
        <v>2023</v>
      </c>
      <c r="P127" s="7" t="str">
        <f t="shared" ca="1" si="3"/>
        <v>5+ years</v>
      </c>
    </row>
    <row r="128" spans="1:16" x14ac:dyDescent="0.25">
      <c r="A128" s="1" t="s">
        <v>25</v>
      </c>
      <c r="B128" s="1"/>
      <c r="C128" s="2">
        <v>123874</v>
      </c>
      <c r="D128" s="3" t="s">
        <v>91</v>
      </c>
      <c r="E128" s="4">
        <v>43901</v>
      </c>
      <c r="F128" s="4">
        <v>44560</v>
      </c>
      <c r="G128" s="5" t="s">
        <v>65</v>
      </c>
      <c r="H128" s="2" t="s">
        <v>86</v>
      </c>
      <c r="I128" s="2" t="s">
        <v>22</v>
      </c>
      <c r="J128" s="6">
        <v>44558</v>
      </c>
      <c r="K128" s="6" t="s">
        <v>28</v>
      </c>
      <c r="L128" s="3" t="s">
        <v>29</v>
      </c>
      <c r="M128" s="3" t="s">
        <v>30</v>
      </c>
      <c r="N128" s="3">
        <v>14</v>
      </c>
      <c r="O128" s="7">
        <f>YEAR('Data sheet'!$E29)</f>
        <v>2023</v>
      </c>
      <c r="P128" s="7" t="str">
        <f t="shared" ca="1" si="3"/>
        <v>5+ years</v>
      </c>
    </row>
    <row r="129" spans="1:16" x14ac:dyDescent="0.25">
      <c r="A129" s="1" t="s">
        <v>16</v>
      </c>
      <c r="B129" s="1" t="s">
        <v>17</v>
      </c>
      <c r="C129" s="2">
        <v>147637</v>
      </c>
      <c r="D129" s="3" t="s">
        <v>57</v>
      </c>
      <c r="E129" s="4">
        <v>43916</v>
      </c>
      <c r="F129" s="4"/>
      <c r="G129" s="5" t="s">
        <v>20</v>
      </c>
      <c r="H129" s="2" t="s">
        <v>86</v>
      </c>
      <c r="I129" s="2" t="s">
        <v>22</v>
      </c>
      <c r="J129" s="6">
        <v>44314</v>
      </c>
      <c r="K129" s="6" t="s">
        <v>23</v>
      </c>
      <c r="L129" s="3" t="s">
        <v>29</v>
      </c>
      <c r="M129" s="3" t="s">
        <v>44</v>
      </c>
      <c r="N129" s="3">
        <v>14</v>
      </c>
      <c r="O129" s="7">
        <f>YEAR('Data sheet'!$E30)</f>
        <v>2023</v>
      </c>
      <c r="P129" s="7" t="str">
        <f t="shared" ca="1" si="3"/>
        <v>5+ years</v>
      </c>
    </row>
    <row r="130" spans="1:16" x14ac:dyDescent="0.25">
      <c r="A130" s="1" t="s">
        <v>16</v>
      </c>
      <c r="B130" s="1" t="s">
        <v>17</v>
      </c>
      <c r="C130" s="2">
        <v>183900</v>
      </c>
      <c r="D130" s="3" t="s">
        <v>92</v>
      </c>
      <c r="E130" s="4">
        <v>43950</v>
      </c>
      <c r="F130" s="4"/>
      <c r="G130" s="5" t="s">
        <v>65</v>
      </c>
      <c r="H130" s="2" t="s">
        <v>86</v>
      </c>
      <c r="I130" s="2" t="s">
        <v>22</v>
      </c>
      <c r="J130" s="6">
        <v>44309</v>
      </c>
      <c r="K130" s="6" t="s">
        <v>23</v>
      </c>
      <c r="L130" s="3" t="s">
        <v>89</v>
      </c>
      <c r="M130" s="3" t="s">
        <v>30</v>
      </c>
      <c r="N130" s="3">
        <v>13</v>
      </c>
      <c r="O130" s="7">
        <f>YEAR('Data sheet'!$E31)</f>
        <v>2023</v>
      </c>
      <c r="P130" s="7" t="str">
        <f t="shared" ref="P130:P161" ca="1" si="4">IF(DATEDIF(E130,TODAY(),"Y")&gt;=5,"5+ years",
IF(DATEDIF(E130,TODAY(),"Y")&gt;=4,"4+ years",
IF(DATEDIF(E130,TODAY(),"Y")&gt;=3,"3+ years",
IF(DATEDIF(E130,TODAY(),"Y")&gt;=2,"2+ years",
IF(DATEDIF(E130,TODAY(),"Y")&gt;=1,"1+ years","&lt;1 year")))))</f>
        <v>5+ years</v>
      </c>
    </row>
    <row r="131" spans="1:16" x14ac:dyDescent="0.25">
      <c r="A131" s="1" t="s">
        <v>16</v>
      </c>
      <c r="B131" s="1"/>
      <c r="C131" s="2">
        <v>110700</v>
      </c>
      <c r="D131" s="3" t="s">
        <v>93</v>
      </c>
      <c r="E131" s="4">
        <v>43971</v>
      </c>
      <c r="F131" s="4"/>
      <c r="G131" s="5" t="s">
        <v>65</v>
      </c>
      <c r="H131" s="2" t="s">
        <v>86</v>
      </c>
      <c r="I131" s="2" t="s">
        <v>22</v>
      </c>
      <c r="J131" s="6">
        <v>44307</v>
      </c>
      <c r="K131" s="6" t="s">
        <v>23</v>
      </c>
      <c r="L131" s="3" t="s">
        <v>89</v>
      </c>
      <c r="M131" s="3" t="s">
        <v>44</v>
      </c>
      <c r="N131" s="3">
        <v>13</v>
      </c>
      <c r="O131" s="7">
        <f>YEAR('Data sheet'!$E32)</f>
        <v>2023</v>
      </c>
      <c r="P131" s="7" t="str">
        <f t="shared" ca="1" si="4"/>
        <v>5+ years</v>
      </c>
    </row>
    <row r="132" spans="1:16" x14ac:dyDescent="0.25">
      <c r="A132" s="1" t="s">
        <v>16</v>
      </c>
      <c r="B132" s="1" t="s">
        <v>17</v>
      </c>
      <c r="C132" s="2">
        <v>188035</v>
      </c>
      <c r="D132" s="3" t="s">
        <v>94</v>
      </c>
      <c r="E132" s="4">
        <v>43994</v>
      </c>
      <c r="F132" s="4"/>
      <c r="G132" s="5" t="s">
        <v>57</v>
      </c>
      <c r="H132" s="2" t="s">
        <v>86</v>
      </c>
      <c r="I132" s="2" t="s">
        <v>22</v>
      </c>
      <c r="J132" s="6">
        <v>44781</v>
      </c>
      <c r="K132" s="6" t="s">
        <v>23</v>
      </c>
      <c r="L132" s="3" t="s">
        <v>29</v>
      </c>
      <c r="M132" s="3" t="s">
        <v>24</v>
      </c>
      <c r="N132" s="3">
        <v>7</v>
      </c>
      <c r="O132" s="7">
        <f>YEAR('Data sheet'!$E33)</f>
        <v>2023</v>
      </c>
      <c r="P132" s="7" t="str">
        <f t="shared" ca="1" si="4"/>
        <v>5+ years</v>
      </c>
    </row>
    <row r="133" spans="1:16" x14ac:dyDescent="0.25">
      <c r="A133" s="1" t="s">
        <v>16</v>
      </c>
      <c r="B133" s="1"/>
      <c r="C133" s="2">
        <v>131049</v>
      </c>
      <c r="D133" s="3" t="s">
        <v>95</v>
      </c>
      <c r="E133" s="4">
        <v>44000</v>
      </c>
      <c r="F133" s="4"/>
      <c r="G133" s="5" t="s">
        <v>65</v>
      </c>
      <c r="H133" s="2" t="s">
        <v>86</v>
      </c>
      <c r="I133" s="2" t="s">
        <v>22</v>
      </c>
      <c r="J133" s="6">
        <v>44561</v>
      </c>
      <c r="K133" s="6" t="s">
        <v>23</v>
      </c>
      <c r="L133" s="3" t="s">
        <v>89</v>
      </c>
      <c r="M133" s="3" t="s">
        <v>24</v>
      </c>
      <c r="N133" s="3">
        <v>13</v>
      </c>
      <c r="O133" s="7">
        <f>YEAR('Data sheet'!$E34)</f>
        <v>2023</v>
      </c>
      <c r="P133" s="7" t="str">
        <f t="shared" ca="1" si="4"/>
        <v>5+ years</v>
      </c>
    </row>
    <row r="134" spans="1:16" x14ac:dyDescent="0.25">
      <c r="A134" s="1" t="s">
        <v>25</v>
      </c>
      <c r="B134" s="1"/>
      <c r="C134" s="2">
        <v>180582</v>
      </c>
      <c r="D134" s="3" t="s">
        <v>96</v>
      </c>
      <c r="E134" s="4">
        <v>44008</v>
      </c>
      <c r="F134" s="4">
        <v>44377</v>
      </c>
      <c r="G134" s="5" t="s">
        <v>57</v>
      </c>
      <c r="H134" s="2" t="s">
        <v>86</v>
      </c>
      <c r="I134" s="2" t="s">
        <v>39</v>
      </c>
      <c r="J134" s="6">
        <v>44343</v>
      </c>
      <c r="K134" s="6" t="s">
        <v>23</v>
      </c>
      <c r="L134" s="3" t="s">
        <v>97</v>
      </c>
      <c r="M134" s="3" t="s">
        <v>30</v>
      </c>
      <c r="N134" s="3">
        <v>0</v>
      </c>
      <c r="O134" s="7">
        <f>YEAR('Data sheet'!$E35)</f>
        <v>2023</v>
      </c>
      <c r="P134" s="7" t="str">
        <f t="shared" ca="1" si="4"/>
        <v>5+ years</v>
      </c>
    </row>
    <row r="135" spans="1:16" x14ac:dyDescent="0.25">
      <c r="A135" s="1" t="s">
        <v>16</v>
      </c>
      <c r="B135" s="1"/>
      <c r="C135" s="2">
        <v>126718</v>
      </c>
      <c r="D135" s="3" t="s">
        <v>98</v>
      </c>
      <c r="E135" s="4">
        <v>44020</v>
      </c>
      <c r="F135" s="4"/>
      <c r="G135" s="5" t="s">
        <v>65</v>
      </c>
      <c r="H135" s="2" t="s">
        <v>86</v>
      </c>
      <c r="I135" s="2" t="s">
        <v>22</v>
      </c>
      <c r="J135" s="6">
        <v>44472</v>
      </c>
      <c r="K135" s="6" t="s">
        <v>23</v>
      </c>
      <c r="L135" s="3" t="s">
        <v>29</v>
      </c>
      <c r="M135" s="3" t="s">
        <v>30</v>
      </c>
      <c r="N135" s="3">
        <v>6.5</v>
      </c>
      <c r="O135" s="7">
        <f>YEAR('Data sheet'!$E36)</f>
        <v>2023</v>
      </c>
      <c r="P135" s="7" t="str">
        <f t="shared" ca="1" si="4"/>
        <v>5+ years</v>
      </c>
    </row>
    <row r="136" spans="1:16" x14ac:dyDescent="0.25">
      <c r="A136" s="1" t="s">
        <v>16</v>
      </c>
      <c r="B136" s="1"/>
      <c r="C136" s="2">
        <v>192425</v>
      </c>
      <c r="D136" s="3" t="s">
        <v>99</v>
      </c>
      <c r="E136" s="4">
        <v>44036</v>
      </c>
      <c r="F136" s="4"/>
      <c r="G136" s="5" t="s">
        <v>20</v>
      </c>
      <c r="H136" s="2" t="s">
        <v>86</v>
      </c>
      <c r="I136" s="2" t="s">
        <v>22</v>
      </c>
      <c r="J136" s="6">
        <v>44338</v>
      </c>
      <c r="K136" s="6" t="s">
        <v>23</v>
      </c>
      <c r="L136" s="3" t="s">
        <v>29</v>
      </c>
      <c r="M136" s="3" t="s">
        <v>44</v>
      </c>
      <c r="N136" s="3">
        <v>8</v>
      </c>
      <c r="O136" s="7">
        <f>YEAR('Data sheet'!$E37)</f>
        <v>2023</v>
      </c>
      <c r="P136" s="7" t="str">
        <f t="shared" ca="1" si="4"/>
        <v>5+ years</v>
      </c>
    </row>
    <row r="137" spans="1:16" x14ac:dyDescent="0.25">
      <c r="A137" s="1" t="s">
        <v>16</v>
      </c>
      <c r="B137" s="1"/>
      <c r="C137" s="2">
        <v>174008</v>
      </c>
      <c r="D137" s="3" t="s">
        <v>100</v>
      </c>
      <c r="E137" s="4">
        <v>44043</v>
      </c>
      <c r="F137" s="4"/>
      <c r="G137" s="5" t="s">
        <v>57</v>
      </c>
      <c r="H137" s="2" t="s">
        <v>86</v>
      </c>
      <c r="I137" s="2" t="s">
        <v>39</v>
      </c>
      <c r="J137" s="6">
        <v>44540</v>
      </c>
      <c r="K137" s="6" t="s">
        <v>23</v>
      </c>
      <c r="L137" s="3" t="s">
        <v>29</v>
      </c>
      <c r="M137" s="3" t="s">
        <v>30</v>
      </c>
      <c r="N137" s="3">
        <v>12</v>
      </c>
      <c r="O137" s="7">
        <f>YEAR('Data sheet'!$E38)</f>
        <v>2023</v>
      </c>
      <c r="P137" s="7" t="str">
        <f t="shared" ca="1" si="4"/>
        <v>5+ years</v>
      </c>
    </row>
    <row r="138" spans="1:16" x14ac:dyDescent="0.25">
      <c r="A138" s="1" t="s">
        <v>25</v>
      </c>
      <c r="B138" s="1"/>
      <c r="C138" s="2">
        <v>129735</v>
      </c>
      <c r="D138" s="3" t="s">
        <v>38</v>
      </c>
      <c r="E138" s="4">
        <v>44057</v>
      </c>
      <c r="F138" s="4">
        <v>44741</v>
      </c>
      <c r="G138" s="5" t="s">
        <v>65</v>
      </c>
      <c r="H138" s="2" t="s">
        <v>86</v>
      </c>
      <c r="I138" s="2" t="s">
        <v>22</v>
      </c>
      <c r="J138" s="6">
        <v>44211</v>
      </c>
      <c r="K138" s="6" t="s">
        <v>23</v>
      </c>
      <c r="L138" s="3" t="s">
        <v>29</v>
      </c>
      <c r="M138" s="3" t="s">
        <v>24</v>
      </c>
      <c r="N138" s="3">
        <v>5</v>
      </c>
      <c r="O138" s="7">
        <f>YEAR('Data sheet'!$E39)</f>
        <v>2023</v>
      </c>
      <c r="P138" s="7" t="str">
        <f t="shared" ca="1" si="4"/>
        <v>5+ years</v>
      </c>
    </row>
    <row r="139" spans="1:16" x14ac:dyDescent="0.25">
      <c r="A139" s="1" t="s">
        <v>25</v>
      </c>
      <c r="B139" s="1"/>
      <c r="C139" s="2">
        <v>117328</v>
      </c>
      <c r="D139" s="3" t="s">
        <v>101</v>
      </c>
      <c r="E139" s="4">
        <v>44069</v>
      </c>
      <c r="F139" s="4">
        <v>44681</v>
      </c>
      <c r="G139" s="5" t="s">
        <v>65</v>
      </c>
      <c r="H139" s="2" t="s">
        <v>86</v>
      </c>
      <c r="I139" s="2" t="s">
        <v>22</v>
      </c>
      <c r="J139" s="6">
        <v>44236</v>
      </c>
      <c r="K139" s="6" t="s">
        <v>28</v>
      </c>
      <c r="L139" s="3" t="s">
        <v>29</v>
      </c>
      <c r="M139" s="3" t="s">
        <v>24</v>
      </c>
      <c r="N139" s="3">
        <v>4.8</v>
      </c>
      <c r="O139" s="7">
        <f>YEAR('Data sheet'!$E40)</f>
        <v>2023</v>
      </c>
      <c r="P139" s="7" t="str">
        <f t="shared" ca="1" si="4"/>
        <v>5+ years</v>
      </c>
    </row>
    <row r="140" spans="1:16" x14ac:dyDescent="0.25">
      <c r="A140" s="1" t="s">
        <v>16</v>
      </c>
      <c r="B140" s="1"/>
      <c r="C140" s="2">
        <v>110646</v>
      </c>
      <c r="D140" s="3" t="s">
        <v>102</v>
      </c>
      <c r="E140" s="4">
        <v>44075</v>
      </c>
      <c r="F140" s="4"/>
      <c r="G140" s="3" t="s">
        <v>52</v>
      </c>
      <c r="H140" s="2" t="s">
        <v>86</v>
      </c>
      <c r="I140" s="2" t="s">
        <v>22</v>
      </c>
      <c r="J140" s="6">
        <v>44216</v>
      </c>
      <c r="K140" s="6" t="s">
        <v>28</v>
      </c>
      <c r="L140" s="3" t="s">
        <v>29</v>
      </c>
      <c r="M140" s="3" t="s">
        <v>44</v>
      </c>
      <c r="N140" s="3">
        <v>9</v>
      </c>
      <c r="O140" s="7">
        <f>YEAR('Data sheet'!$E41)</f>
        <v>2023</v>
      </c>
      <c r="P140" s="7" t="str">
        <f t="shared" ca="1" si="4"/>
        <v>5+ years</v>
      </c>
    </row>
    <row r="141" spans="1:16" x14ac:dyDescent="0.25">
      <c r="A141" s="1" t="s">
        <v>16</v>
      </c>
      <c r="B141" s="1"/>
      <c r="C141" s="2">
        <v>114446</v>
      </c>
      <c r="D141" s="3" t="s">
        <v>103</v>
      </c>
      <c r="E141" s="4">
        <v>44075</v>
      </c>
      <c r="F141" s="4"/>
      <c r="G141" s="3" t="s">
        <v>80</v>
      </c>
      <c r="H141" s="2" t="s">
        <v>86</v>
      </c>
      <c r="I141" s="2" t="s">
        <v>22</v>
      </c>
      <c r="J141" s="6">
        <v>44524</v>
      </c>
      <c r="K141" s="6" t="s">
        <v>28</v>
      </c>
      <c r="L141" s="3" t="s">
        <v>89</v>
      </c>
      <c r="M141" s="3" t="s">
        <v>44</v>
      </c>
      <c r="N141" s="3">
        <v>8</v>
      </c>
      <c r="O141" s="7">
        <f>YEAR('Data sheet'!$E42)</f>
        <v>2023</v>
      </c>
      <c r="P141" s="7" t="str">
        <f t="shared" ca="1" si="4"/>
        <v>5+ years</v>
      </c>
    </row>
    <row r="142" spans="1:16" x14ac:dyDescent="0.25">
      <c r="A142" s="1" t="s">
        <v>16</v>
      </c>
      <c r="B142" s="1"/>
      <c r="C142" s="2">
        <v>189125</v>
      </c>
      <c r="D142" s="3" t="s">
        <v>104</v>
      </c>
      <c r="E142" s="4">
        <v>44075</v>
      </c>
      <c r="F142" s="4"/>
      <c r="G142" s="5" t="s">
        <v>38</v>
      </c>
      <c r="H142" s="2" t="s">
        <v>86</v>
      </c>
      <c r="I142" s="2" t="s">
        <v>22</v>
      </c>
      <c r="J142" s="6">
        <v>44504</v>
      </c>
      <c r="K142" s="6" t="s">
        <v>28</v>
      </c>
      <c r="L142" s="3" t="s">
        <v>89</v>
      </c>
      <c r="M142" s="3" t="s">
        <v>24</v>
      </c>
      <c r="N142" s="3">
        <v>17</v>
      </c>
      <c r="O142" s="7">
        <f>YEAR('Data sheet'!$E43)</f>
        <v>2023</v>
      </c>
      <c r="P142" s="7" t="str">
        <f t="shared" ca="1" si="4"/>
        <v>5+ years</v>
      </c>
    </row>
    <row r="143" spans="1:16" x14ac:dyDescent="0.25">
      <c r="A143" s="1" t="s">
        <v>16</v>
      </c>
      <c r="B143" s="1" t="s">
        <v>17</v>
      </c>
      <c r="C143" s="2">
        <v>183930</v>
      </c>
      <c r="D143" s="3" t="s">
        <v>105</v>
      </c>
      <c r="E143" s="4">
        <v>44075</v>
      </c>
      <c r="F143" s="4"/>
      <c r="G143" s="5" t="s">
        <v>38</v>
      </c>
      <c r="H143" s="2" t="s">
        <v>86</v>
      </c>
      <c r="I143" s="2" t="s">
        <v>22</v>
      </c>
      <c r="J143" s="6">
        <v>44309</v>
      </c>
      <c r="K143" s="6" t="s">
        <v>28</v>
      </c>
      <c r="L143" s="3" t="s">
        <v>89</v>
      </c>
      <c r="M143" s="3" t="s">
        <v>30</v>
      </c>
      <c r="N143" s="3">
        <v>13</v>
      </c>
      <c r="O143" s="7">
        <f>YEAR('Data sheet'!$E44)</f>
        <v>2023</v>
      </c>
      <c r="P143" s="7" t="str">
        <f t="shared" ca="1" si="4"/>
        <v>5+ years</v>
      </c>
    </row>
    <row r="144" spans="1:16" x14ac:dyDescent="0.25">
      <c r="A144" s="1" t="s">
        <v>16</v>
      </c>
      <c r="B144" s="1"/>
      <c r="C144" s="2">
        <v>110730</v>
      </c>
      <c r="D144" s="3" t="s">
        <v>43</v>
      </c>
      <c r="E144" s="4">
        <v>44075</v>
      </c>
      <c r="F144" s="4"/>
      <c r="G144" s="3" t="s">
        <v>43</v>
      </c>
      <c r="H144" s="2" t="s">
        <v>86</v>
      </c>
      <c r="I144" s="2" t="s">
        <v>22</v>
      </c>
      <c r="J144" s="6">
        <v>44307</v>
      </c>
      <c r="K144" s="6" t="s">
        <v>23</v>
      </c>
      <c r="L144" s="3" t="s">
        <v>89</v>
      </c>
      <c r="M144" s="3" t="s">
        <v>44</v>
      </c>
      <c r="N144" s="3">
        <v>13</v>
      </c>
      <c r="O144" s="7">
        <f>YEAR('Data sheet'!$E45)</f>
        <v>2023</v>
      </c>
      <c r="P144" s="7" t="str">
        <f t="shared" ca="1" si="4"/>
        <v>5+ years</v>
      </c>
    </row>
    <row r="145" spans="1:16" x14ac:dyDescent="0.25">
      <c r="A145" s="1" t="s">
        <v>16</v>
      </c>
      <c r="B145" s="1"/>
      <c r="C145" s="2">
        <v>131079</v>
      </c>
      <c r="D145" s="3" t="s">
        <v>106</v>
      </c>
      <c r="E145" s="4">
        <v>44075</v>
      </c>
      <c r="F145" s="4"/>
      <c r="G145" s="5" t="s">
        <v>20</v>
      </c>
      <c r="H145" s="2" t="s">
        <v>86</v>
      </c>
      <c r="I145" s="2" t="s">
        <v>22</v>
      </c>
      <c r="J145" s="6">
        <v>44561</v>
      </c>
      <c r="K145" s="6" t="s">
        <v>23</v>
      </c>
      <c r="L145" s="3" t="s">
        <v>89</v>
      </c>
      <c r="M145" s="3" t="s">
        <v>24</v>
      </c>
      <c r="N145" s="3">
        <v>13</v>
      </c>
      <c r="O145" s="7">
        <f>YEAR('Data sheet'!$E46)</f>
        <v>2023</v>
      </c>
      <c r="P145" s="7" t="str">
        <f t="shared" ca="1" si="4"/>
        <v>5+ years</v>
      </c>
    </row>
    <row r="146" spans="1:16" x14ac:dyDescent="0.25">
      <c r="A146" s="1" t="s">
        <v>16</v>
      </c>
      <c r="B146" s="1"/>
      <c r="C146" s="2">
        <v>180612</v>
      </c>
      <c r="D146" s="3" t="s">
        <v>107</v>
      </c>
      <c r="E146" s="4">
        <v>44075</v>
      </c>
      <c r="F146" s="4"/>
      <c r="G146" s="5" t="s">
        <v>57</v>
      </c>
      <c r="H146" s="2" t="s">
        <v>86</v>
      </c>
      <c r="I146" s="2" t="s">
        <v>39</v>
      </c>
      <c r="J146" s="6">
        <v>44343</v>
      </c>
      <c r="K146" s="6" t="s">
        <v>23</v>
      </c>
      <c r="L146" s="3" t="s">
        <v>97</v>
      </c>
      <c r="M146" s="3" t="s">
        <v>30</v>
      </c>
      <c r="N146" s="3">
        <v>0</v>
      </c>
      <c r="O146" s="7">
        <f>YEAR('Data sheet'!$E47)</f>
        <v>2023</v>
      </c>
      <c r="P146" s="7" t="str">
        <f t="shared" ca="1" si="4"/>
        <v>5+ years</v>
      </c>
    </row>
    <row r="147" spans="1:16" x14ac:dyDescent="0.25">
      <c r="A147" s="1" t="s">
        <v>25</v>
      </c>
      <c r="B147" s="1"/>
      <c r="C147" s="2">
        <v>154702</v>
      </c>
      <c r="D147" s="3" t="s">
        <v>108</v>
      </c>
      <c r="E147" s="4">
        <v>44083</v>
      </c>
      <c r="F147" s="4">
        <v>45311</v>
      </c>
      <c r="G147" s="5" t="s">
        <v>65</v>
      </c>
      <c r="H147" s="2" t="s">
        <v>86</v>
      </c>
      <c r="I147" s="2" t="s">
        <v>39</v>
      </c>
      <c r="J147" s="6">
        <v>44507</v>
      </c>
      <c r="K147" s="6" t="s">
        <v>28</v>
      </c>
      <c r="L147" s="3" t="s">
        <v>97</v>
      </c>
      <c r="M147" s="3" t="s">
        <v>24</v>
      </c>
      <c r="N147" s="3">
        <v>0</v>
      </c>
      <c r="O147" s="7">
        <f>YEAR('Data sheet'!$E48)</f>
        <v>2023</v>
      </c>
      <c r="P147" s="7" t="str">
        <f t="shared" ca="1" si="4"/>
        <v>5+ years</v>
      </c>
    </row>
    <row r="148" spans="1:16" x14ac:dyDescent="0.25">
      <c r="A148" s="1" t="s">
        <v>16</v>
      </c>
      <c r="B148" s="1"/>
      <c r="C148" s="2">
        <v>101286</v>
      </c>
      <c r="D148" s="3" t="s">
        <v>109</v>
      </c>
      <c r="E148" s="4">
        <v>44083</v>
      </c>
      <c r="F148" s="4"/>
      <c r="G148" s="5" t="s">
        <v>65</v>
      </c>
      <c r="H148" s="2" t="s">
        <v>86</v>
      </c>
      <c r="I148" s="2" t="s">
        <v>22</v>
      </c>
      <c r="J148" s="6">
        <v>44269</v>
      </c>
      <c r="K148" s="6" t="s">
        <v>23</v>
      </c>
      <c r="L148" s="3" t="s">
        <v>89</v>
      </c>
      <c r="M148" s="3" t="s">
        <v>35</v>
      </c>
      <c r="N148" s="3">
        <v>14</v>
      </c>
      <c r="O148" s="7">
        <f>YEAR('Data sheet'!$E49)</f>
        <v>2023</v>
      </c>
      <c r="P148" s="7" t="str">
        <f t="shared" ca="1" si="4"/>
        <v>5+ years</v>
      </c>
    </row>
    <row r="149" spans="1:16" x14ac:dyDescent="0.25">
      <c r="A149" s="1" t="s">
        <v>25</v>
      </c>
      <c r="B149" s="1"/>
      <c r="C149" s="2">
        <v>137383</v>
      </c>
      <c r="D149" s="3" t="s">
        <v>20</v>
      </c>
      <c r="E149" s="4">
        <v>44090</v>
      </c>
      <c r="F149" s="4">
        <v>44258</v>
      </c>
      <c r="G149" s="3" t="s">
        <v>52</v>
      </c>
      <c r="H149" s="2" t="s">
        <v>86</v>
      </c>
      <c r="I149" s="2" t="s">
        <v>22</v>
      </c>
      <c r="J149" s="6">
        <v>44220</v>
      </c>
      <c r="K149" s="6" t="s">
        <v>23</v>
      </c>
      <c r="L149" s="3" t="s">
        <v>89</v>
      </c>
      <c r="M149" s="3" t="s">
        <v>24</v>
      </c>
      <c r="N149" s="3">
        <v>9</v>
      </c>
      <c r="O149" s="7">
        <f>YEAR('Data sheet'!$E50)</f>
        <v>2023</v>
      </c>
      <c r="P149" s="7" t="str">
        <f t="shared" ca="1" si="4"/>
        <v>5+ years</v>
      </c>
    </row>
    <row r="150" spans="1:16" x14ac:dyDescent="0.25">
      <c r="A150" s="1" t="s">
        <v>25</v>
      </c>
      <c r="B150" s="1"/>
      <c r="C150" s="2">
        <v>185704</v>
      </c>
      <c r="D150" s="3" t="s">
        <v>65</v>
      </c>
      <c r="E150" s="4">
        <v>44090</v>
      </c>
      <c r="F150" s="4">
        <v>44395</v>
      </c>
      <c r="G150" s="5" t="s">
        <v>57</v>
      </c>
      <c r="H150" s="2" t="s">
        <v>86</v>
      </c>
      <c r="I150" s="2" t="s">
        <v>22</v>
      </c>
      <c r="J150" s="6">
        <v>44536</v>
      </c>
      <c r="K150" s="6" t="s">
        <v>23</v>
      </c>
      <c r="L150" s="3" t="s">
        <v>97</v>
      </c>
      <c r="M150" s="3" t="s">
        <v>49</v>
      </c>
      <c r="N150" s="3">
        <v>0</v>
      </c>
      <c r="O150" s="7">
        <f>YEAR('Data sheet'!$E51)</f>
        <v>2024</v>
      </c>
      <c r="P150" s="7" t="str">
        <f t="shared" ca="1" si="4"/>
        <v>5+ years</v>
      </c>
    </row>
    <row r="151" spans="1:16" x14ac:dyDescent="0.25">
      <c r="A151" s="1" t="s">
        <v>25</v>
      </c>
      <c r="B151" s="1"/>
      <c r="C151" s="2">
        <v>151727</v>
      </c>
      <c r="D151" s="3" t="s">
        <v>110</v>
      </c>
      <c r="E151" s="4">
        <v>44090</v>
      </c>
      <c r="F151" s="4">
        <v>45106</v>
      </c>
      <c r="G151" s="5" t="s">
        <v>57</v>
      </c>
      <c r="H151" s="2" t="s">
        <v>86</v>
      </c>
      <c r="I151" s="2" t="s">
        <v>22</v>
      </c>
      <c r="J151" s="6">
        <v>44230</v>
      </c>
      <c r="K151" s="6" t="s">
        <v>23</v>
      </c>
      <c r="L151" s="3" t="s">
        <v>97</v>
      </c>
      <c r="M151" s="3" t="s">
        <v>49</v>
      </c>
      <c r="N151" s="3">
        <v>0</v>
      </c>
      <c r="O151" s="7">
        <f>YEAR('Data sheet'!$E52)</f>
        <v>2024</v>
      </c>
      <c r="P151" s="7" t="str">
        <f t="shared" ca="1" si="4"/>
        <v>5+ years</v>
      </c>
    </row>
    <row r="152" spans="1:16" x14ac:dyDescent="0.25">
      <c r="A152" s="1" t="s">
        <v>25</v>
      </c>
      <c r="B152" s="1"/>
      <c r="C152" s="2">
        <v>135167</v>
      </c>
      <c r="D152" s="3" t="s">
        <v>111</v>
      </c>
      <c r="E152" s="4">
        <v>44090</v>
      </c>
      <c r="F152" s="4">
        <v>45195</v>
      </c>
      <c r="G152" s="5" t="s">
        <v>57</v>
      </c>
      <c r="H152" s="2" t="s">
        <v>86</v>
      </c>
      <c r="I152" s="2" t="s">
        <v>22</v>
      </c>
      <c r="J152" s="6">
        <v>44283</v>
      </c>
      <c r="K152" s="6" t="s">
        <v>23</v>
      </c>
      <c r="L152" s="3" t="s">
        <v>97</v>
      </c>
      <c r="M152" s="3" t="s">
        <v>49</v>
      </c>
      <c r="N152" s="3">
        <v>0</v>
      </c>
      <c r="O152" s="7">
        <f>YEAR('Data sheet'!$E53)</f>
        <v>2024</v>
      </c>
      <c r="P152" s="7" t="str">
        <f t="shared" ca="1" si="4"/>
        <v>5+ years</v>
      </c>
    </row>
    <row r="153" spans="1:16" x14ac:dyDescent="0.25">
      <c r="A153" s="1" t="s">
        <v>25</v>
      </c>
      <c r="B153" s="1"/>
      <c r="C153" s="2">
        <v>100971</v>
      </c>
      <c r="D153" s="3" t="s">
        <v>112</v>
      </c>
      <c r="E153" s="4">
        <v>44090</v>
      </c>
      <c r="F153" s="4">
        <v>45283</v>
      </c>
      <c r="G153" s="5" t="s">
        <v>57</v>
      </c>
      <c r="H153" s="2" t="s">
        <v>86</v>
      </c>
      <c r="I153" s="2" t="s">
        <v>22</v>
      </c>
      <c r="J153" s="6">
        <v>44447</v>
      </c>
      <c r="K153" s="6" t="s">
        <v>23</v>
      </c>
      <c r="L153" s="3" t="s">
        <v>97</v>
      </c>
      <c r="M153" s="3" t="s">
        <v>49</v>
      </c>
      <c r="N153" s="3">
        <v>0</v>
      </c>
      <c r="O153" s="7">
        <f>YEAR('Data sheet'!$E54)</f>
        <v>2024</v>
      </c>
      <c r="P153" s="7" t="str">
        <f t="shared" ca="1" si="4"/>
        <v>5+ years</v>
      </c>
    </row>
    <row r="154" spans="1:16" x14ac:dyDescent="0.25">
      <c r="A154" s="1" t="s">
        <v>25</v>
      </c>
      <c r="B154" s="1"/>
      <c r="C154" s="2">
        <v>145787</v>
      </c>
      <c r="D154" s="3" t="s">
        <v>113</v>
      </c>
      <c r="E154" s="4">
        <v>44090</v>
      </c>
      <c r="F154" s="4">
        <v>45318</v>
      </c>
      <c r="G154" s="5" t="s">
        <v>57</v>
      </c>
      <c r="H154" s="2" t="s">
        <v>86</v>
      </c>
      <c r="I154" s="2" t="s">
        <v>39</v>
      </c>
      <c r="J154" s="6">
        <v>44483</v>
      </c>
      <c r="K154" s="6" t="s">
        <v>28</v>
      </c>
      <c r="L154" s="3" t="s">
        <v>97</v>
      </c>
      <c r="M154" s="3" t="s">
        <v>49</v>
      </c>
      <c r="N154" s="3">
        <v>0</v>
      </c>
      <c r="O154" s="7">
        <f>YEAR('Data sheet'!$E55)</f>
        <v>2024</v>
      </c>
      <c r="P154" s="7" t="str">
        <f t="shared" ca="1" si="4"/>
        <v>5+ years</v>
      </c>
    </row>
    <row r="155" spans="1:16" x14ac:dyDescent="0.25">
      <c r="A155" s="1" t="s">
        <v>25</v>
      </c>
      <c r="B155" s="1"/>
      <c r="C155" s="2">
        <v>170924</v>
      </c>
      <c r="D155" s="3" t="s">
        <v>114</v>
      </c>
      <c r="E155" s="4">
        <v>44090</v>
      </c>
      <c r="F155" s="4">
        <v>45368</v>
      </c>
      <c r="G155" s="3" t="s">
        <v>80</v>
      </c>
      <c r="H155" s="2" t="s">
        <v>86</v>
      </c>
      <c r="I155" s="2" t="s">
        <v>22</v>
      </c>
      <c r="J155" s="6">
        <v>44470</v>
      </c>
      <c r="K155" s="6" t="s">
        <v>23</v>
      </c>
      <c r="L155" s="3" t="s">
        <v>97</v>
      </c>
      <c r="M155" s="3" t="s">
        <v>49</v>
      </c>
      <c r="N155" s="3">
        <v>0</v>
      </c>
      <c r="O155" s="7">
        <f>YEAR('Data sheet'!$E56)</f>
        <v>2024</v>
      </c>
      <c r="P155" s="7" t="str">
        <f t="shared" ca="1" si="4"/>
        <v>5+ years</v>
      </c>
    </row>
    <row r="156" spans="1:16" x14ac:dyDescent="0.25">
      <c r="A156" s="1" t="s">
        <v>25</v>
      </c>
      <c r="B156" s="1"/>
      <c r="C156" s="2">
        <v>129573</v>
      </c>
      <c r="D156" s="3" t="s">
        <v>115</v>
      </c>
      <c r="E156" s="4">
        <v>44090</v>
      </c>
      <c r="F156" s="4">
        <v>45564</v>
      </c>
      <c r="G156" s="5" t="s">
        <v>38</v>
      </c>
      <c r="H156" s="2" t="s">
        <v>86</v>
      </c>
      <c r="I156" s="2" t="s">
        <v>39</v>
      </c>
      <c r="J156" s="6">
        <v>44455</v>
      </c>
      <c r="K156" s="6" t="s">
        <v>23</v>
      </c>
      <c r="L156" s="3" t="s">
        <v>29</v>
      </c>
      <c r="M156" s="3" t="s">
        <v>49</v>
      </c>
      <c r="N156" s="3">
        <v>0</v>
      </c>
      <c r="O156" s="7">
        <f>YEAR('Data sheet'!$E57)</f>
        <v>2024</v>
      </c>
      <c r="P156" s="7" t="str">
        <f t="shared" ca="1" si="4"/>
        <v>5+ years</v>
      </c>
    </row>
    <row r="157" spans="1:16" x14ac:dyDescent="0.25">
      <c r="A157" s="1" t="s">
        <v>16</v>
      </c>
      <c r="B157" s="1"/>
      <c r="C157" s="2">
        <v>115742</v>
      </c>
      <c r="D157" s="3" t="s">
        <v>116</v>
      </c>
      <c r="E157" s="4">
        <v>44090</v>
      </c>
      <c r="F157" s="4"/>
      <c r="G157" s="5" t="s">
        <v>38</v>
      </c>
      <c r="H157" s="2" t="s">
        <v>86</v>
      </c>
      <c r="I157" s="2" t="s">
        <v>39</v>
      </c>
      <c r="J157" s="6">
        <v>44462</v>
      </c>
      <c r="K157" s="6" t="s">
        <v>23</v>
      </c>
      <c r="L157" s="3" t="s">
        <v>29</v>
      </c>
      <c r="M157" s="3" t="s">
        <v>49</v>
      </c>
      <c r="N157" s="3">
        <v>0</v>
      </c>
      <c r="O157" s="7">
        <f>YEAR('Data sheet'!$E58)</f>
        <v>2024</v>
      </c>
      <c r="P157" s="7" t="str">
        <f t="shared" ca="1" si="4"/>
        <v>5+ years</v>
      </c>
    </row>
    <row r="158" spans="1:16" x14ac:dyDescent="0.25">
      <c r="A158" s="1" t="s">
        <v>16</v>
      </c>
      <c r="B158" s="1"/>
      <c r="C158" s="2">
        <v>126064</v>
      </c>
      <c r="D158" s="3" t="s">
        <v>117</v>
      </c>
      <c r="E158" s="4">
        <v>44090</v>
      </c>
      <c r="F158" s="4"/>
      <c r="G158" s="5" t="s">
        <v>38</v>
      </c>
      <c r="H158" s="2" t="s">
        <v>86</v>
      </c>
      <c r="I158" s="2" t="s">
        <v>39</v>
      </c>
      <c r="J158" s="6">
        <v>44346</v>
      </c>
      <c r="K158" s="6" t="s">
        <v>23</v>
      </c>
      <c r="L158" s="3" t="s">
        <v>29</v>
      </c>
      <c r="M158" s="3" t="s">
        <v>49</v>
      </c>
      <c r="N158" s="3">
        <v>0</v>
      </c>
      <c r="O158" s="7">
        <f>YEAR('Data sheet'!$E59)</f>
        <v>2024</v>
      </c>
      <c r="P158" s="7" t="str">
        <f t="shared" ca="1" si="4"/>
        <v>5+ years</v>
      </c>
    </row>
    <row r="159" spans="1:16" x14ac:dyDescent="0.25">
      <c r="A159" s="1" t="s">
        <v>16</v>
      </c>
      <c r="B159" s="1"/>
      <c r="C159" s="2">
        <v>173140</v>
      </c>
      <c r="D159" s="3" t="s">
        <v>118</v>
      </c>
      <c r="E159" s="4">
        <v>44090</v>
      </c>
      <c r="F159" s="4"/>
      <c r="G159" s="3" t="s">
        <v>80</v>
      </c>
      <c r="H159" s="2" t="s">
        <v>86</v>
      </c>
      <c r="I159" s="2" t="s">
        <v>22</v>
      </c>
      <c r="J159" s="6">
        <v>44390</v>
      </c>
      <c r="K159" s="6" t="s">
        <v>23</v>
      </c>
      <c r="L159" s="3" t="s">
        <v>29</v>
      </c>
      <c r="M159" s="3" t="s">
        <v>49</v>
      </c>
      <c r="N159" s="3">
        <v>0</v>
      </c>
      <c r="O159" s="7">
        <f>YEAR('Data sheet'!$E60)</f>
        <v>2024</v>
      </c>
      <c r="P159" s="7" t="str">
        <f t="shared" ca="1" si="4"/>
        <v>5+ years</v>
      </c>
    </row>
    <row r="160" spans="1:16" x14ac:dyDescent="0.25">
      <c r="A160" s="1" t="s">
        <v>25</v>
      </c>
      <c r="B160" s="1"/>
      <c r="C160" s="2">
        <v>181592</v>
      </c>
      <c r="D160" s="3" t="s">
        <v>119</v>
      </c>
      <c r="E160" s="4">
        <v>44120</v>
      </c>
      <c r="F160" s="4">
        <v>45325</v>
      </c>
      <c r="G160" s="3" t="s">
        <v>80</v>
      </c>
      <c r="H160" s="2" t="s">
        <v>86</v>
      </c>
      <c r="I160" s="2" t="s">
        <v>22</v>
      </c>
      <c r="J160" s="6">
        <v>44220</v>
      </c>
      <c r="K160" s="6" t="s">
        <v>28</v>
      </c>
      <c r="L160" s="3" t="s">
        <v>89</v>
      </c>
      <c r="M160" s="3" t="s">
        <v>49</v>
      </c>
      <c r="N160" s="3">
        <v>12</v>
      </c>
      <c r="O160" s="7">
        <f>YEAR('Data sheet'!$E61)</f>
        <v>2024</v>
      </c>
      <c r="P160" s="7" t="str">
        <f t="shared" ca="1" si="4"/>
        <v>5+ years</v>
      </c>
    </row>
    <row r="161" spans="1:16" x14ac:dyDescent="0.25">
      <c r="A161" s="1" t="s">
        <v>25</v>
      </c>
      <c r="B161" s="1"/>
      <c r="C161" s="2">
        <v>144158</v>
      </c>
      <c r="D161" s="3" t="s">
        <v>120</v>
      </c>
      <c r="E161" s="4">
        <v>44163</v>
      </c>
      <c r="F161" s="4">
        <v>45016</v>
      </c>
      <c r="G161" s="5" t="s">
        <v>20</v>
      </c>
      <c r="H161" s="2" t="s">
        <v>86</v>
      </c>
      <c r="I161" s="2" t="s">
        <v>22</v>
      </c>
      <c r="J161" s="6">
        <v>44296</v>
      </c>
      <c r="K161" s="6" t="s">
        <v>28</v>
      </c>
      <c r="L161" s="3" t="s">
        <v>29</v>
      </c>
      <c r="M161" s="3" t="s">
        <v>30</v>
      </c>
      <c r="N161" s="3">
        <v>6</v>
      </c>
      <c r="O161" s="7">
        <f>YEAR('Data sheet'!$E62)</f>
        <v>2024</v>
      </c>
      <c r="P161" s="7" t="str">
        <f t="shared" ca="1" si="4"/>
        <v>5+ years</v>
      </c>
    </row>
    <row r="162" spans="1:16" x14ac:dyDescent="0.25">
      <c r="A162" s="1" t="s">
        <v>16</v>
      </c>
      <c r="B162" s="1"/>
      <c r="C162" s="2">
        <v>178955</v>
      </c>
      <c r="D162" s="3" t="s">
        <v>121</v>
      </c>
      <c r="E162" s="4">
        <v>44167</v>
      </c>
      <c r="F162" s="4"/>
      <c r="G162" s="3" t="s">
        <v>80</v>
      </c>
      <c r="H162" s="2" t="s">
        <v>86</v>
      </c>
      <c r="I162" s="2" t="s">
        <v>22</v>
      </c>
      <c r="J162" s="6">
        <v>44273</v>
      </c>
      <c r="K162" s="6" t="s">
        <v>23</v>
      </c>
      <c r="L162" s="3" t="s">
        <v>29</v>
      </c>
      <c r="M162" s="3" t="s">
        <v>30</v>
      </c>
      <c r="N162" s="3">
        <v>8</v>
      </c>
      <c r="O162" s="7">
        <f>YEAR('Data sheet'!$E63)</f>
        <v>2024</v>
      </c>
      <c r="P162" s="7" t="str">
        <f t="shared" ref="P162:P172" ca="1" si="5">IF(DATEDIF(E162,TODAY(),"Y")&gt;=5,"5+ years",
IF(DATEDIF(E162,TODAY(),"Y")&gt;=4,"4+ years",
IF(DATEDIF(E162,TODAY(),"Y")&gt;=3,"3+ years",
IF(DATEDIF(E162,TODAY(),"Y")&gt;=2,"2+ years",
IF(DATEDIF(E162,TODAY(),"Y")&gt;=1,"1+ years","&lt;1 year")))))</f>
        <v>5+ years</v>
      </c>
    </row>
    <row r="163" spans="1:16" x14ac:dyDescent="0.25">
      <c r="A163" s="1" t="s">
        <v>25</v>
      </c>
      <c r="B163" s="1"/>
      <c r="C163" s="2">
        <v>110616</v>
      </c>
      <c r="D163" s="3" t="s">
        <v>122</v>
      </c>
      <c r="E163" s="4">
        <v>44186</v>
      </c>
      <c r="F163" s="4">
        <v>44651</v>
      </c>
      <c r="G163" s="5" t="s">
        <v>20</v>
      </c>
      <c r="H163" s="2" t="s">
        <v>86</v>
      </c>
      <c r="I163" s="2" t="s">
        <v>22</v>
      </c>
      <c r="J163" s="6">
        <v>44216</v>
      </c>
      <c r="K163" s="6" t="s">
        <v>28</v>
      </c>
      <c r="L163" s="3" t="s">
        <v>29</v>
      </c>
      <c r="M163" s="3" t="s">
        <v>44</v>
      </c>
      <c r="N163" s="3">
        <v>9</v>
      </c>
      <c r="O163" s="7">
        <f>YEAR('Data sheet'!$E64)</f>
        <v>2024</v>
      </c>
      <c r="P163" s="7" t="str">
        <f t="shared" ca="1" si="5"/>
        <v>5+ years</v>
      </c>
    </row>
    <row r="164" spans="1:16" x14ac:dyDescent="0.25">
      <c r="A164" s="1" t="s">
        <v>25</v>
      </c>
      <c r="B164" s="1"/>
      <c r="C164" s="2">
        <v>120981</v>
      </c>
      <c r="D164" s="3" t="s">
        <v>123</v>
      </c>
      <c r="E164" s="4">
        <v>44191</v>
      </c>
      <c r="F164" s="4">
        <v>45108</v>
      </c>
      <c r="G164" s="5" t="s">
        <v>20</v>
      </c>
      <c r="H164" s="2" t="s">
        <v>86</v>
      </c>
      <c r="I164" s="2" t="s">
        <v>39</v>
      </c>
      <c r="J164" s="6">
        <v>44399</v>
      </c>
      <c r="K164" s="6" t="s">
        <v>23</v>
      </c>
      <c r="L164" s="3" t="s">
        <v>97</v>
      </c>
      <c r="M164" s="3" t="s">
        <v>24</v>
      </c>
      <c r="N164" s="3">
        <v>0</v>
      </c>
      <c r="O164" s="7">
        <f>YEAR('Data sheet'!$E65)</f>
        <v>2024</v>
      </c>
      <c r="P164" s="7" t="str">
        <f t="shared" ca="1" si="5"/>
        <v>5+ years</v>
      </c>
    </row>
    <row r="165" spans="1:16" x14ac:dyDescent="0.25">
      <c r="A165" s="1" t="s">
        <v>25</v>
      </c>
      <c r="B165" s="1"/>
      <c r="C165" s="2">
        <v>140182</v>
      </c>
      <c r="D165" s="3" t="s">
        <v>124</v>
      </c>
      <c r="E165" s="4">
        <v>44218</v>
      </c>
      <c r="F165" s="4">
        <v>44635</v>
      </c>
      <c r="G165" s="5" t="s">
        <v>57</v>
      </c>
      <c r="H165" s="2" t="s">
        <v>86</v>
      </c>
      <c r="I165" s="2" t="s">
        <v>39</v>
      </c>
      <c r="J165" s="6">
        <v>44235</v>
      </c>
      <c r="K165" s="6" t="s">
        <v>23</v>
      </c>
      <c r="L165" s="3" t="s">
        <v>97</v>
      </c>
      <c r="M165" s="3" t="s">
        <v>24</v>
      </c>
      <c r="N165" s="3">
        <v>0</v>
      </c>
      <c r="O165" s="7">
        <f>YEAR('Data sheet'!$E66)</f>
        <v>2024</v>
      </c>
      <c r="P165" s="7" t="str">
        <f t="shared" ca="1" si="5"/>
        <v>5+ years</v>
      </c>
    </row>
    <row r="166" spans="1:16" x14ac:dyDescent="0.25">
      <c r="A166" s="1" t="s">
        <v>25</v>
      </c>
      <c r="B166" s="1"/>
      <c r="C166" s="2">
        <v>174057</v>
      </c>
      <c r="D166" s="3" t="s">
        <v>125</v>
      </c>
      <c r="E166" s="4">
        <v>44218</v>
      </c>
      <c r="F166" s="4">
        <v>44965</v>
      </c>
      <c r="G166" s="5" t="s">
        <v>57</v>
      </c>
      <c r="H166" s="2" t="s">
        <v>86</v>
      </c>
      <c r="I166" s="2" t="s">
        <v>22</v>
      </c>
      <c r="J166" s="6">
        <v>44511</v>
      </c>
      <c r="K166" s="6" t="s">
        <v>28</v>
      </c>
      <c r="L166" s="3" t="s">
        <v>29</v>
      </c>
      <c r="M166" s="3" t="s">
        <v>24</v>
      </c>
      <c r="N166" s="3">
        <v>6</v>
      </c>
      <c r="O166" s="7">
        <f>YEAR('Data sheet'!$E67)</f>
        <v>2024</v>
      </c>
      <c r="P166" s="7" t="str">
        <f t="shared" ca="1" si="5"/>
        <v>5+ years</v>
      </c>
    </row>
    <row r="167" spans="1:16" x14ac:dyDescent="0.25">
      <c r="A167" s="1" t="s">
        <v>25</v>
      </c>
      <c r="B167" s="1"/>
      <c r="C167" s="2">
        <v>124194</v>
      </c>
      <c r="D167" s="3" t="s">
        <v>126</v>
      </c>
      <c r="E167" s="4">
        <v>44225</v>
      </c>
      <c r="F167" s="4">
        <v>44630</v>
      </c>
      <c r="G167" s="5" t="s">
        <v>38</v>
      </c>
      <c r="H167" s="2" t="s">
        <v>86</v>
      </c>
      <c r="I167" s="2" t="s">
        <v>22</v>
      </c>
      <c r="J167" s="6">
        <v>44221</v>
      </c>
      <c r="K167" s="6" t="s">
        <v>28</v>
      </c>
      <c r="L167" s="3" t="s">
        <v>89</v>
      </c>
      <c r="M167" s="3" t="s">
        <v>30</v>
      </c>
      <c r="N167" s="3">
        <v>13</v>
      </c>
      <c r="O167" s="7">
        <f>YEAR('Data sheet'!$E68)</f>
        <v>2022</v>
      </c>
      <c r="P167" s="7" t="str">
        <f t="shared" ca="1" si="5"/>
        <v>5+ years</v>
      </c>
    </row>
    <row r="168" spans="1:16" x14ac:dyDescent="0.25">
      <c r="A168" s="1" t="s">
        <v>25</v>
      </c>
      <c r="B168" s="1"/>
      <c r="C168" s="2">
        <v>185420</v>
      </c>
      <c r="D168" s="3" t="s">
        <v>127</v>
      </c>
      <c r="E168" s="4">
        <v>44246</v>
      </c>
      <c r="F168" s="4">
        <v>45199</v>
      </c>
      <c r="G168" s="3" t="s">
        <v>43</v>
      </c>
      <c r="H168" s="2" t="s">
        <v>86</v>
      </c>
      <c r="I168" s="2" t="s">
        <v>22</v>
      </c>
      <c r="J168" s="6">
        <v>44371</v>
      </c>
      <c r="K168" s="6" t="s">
        <v>28</v>
      </c>
      <c r="L168" s="3" t="s">
        <v>29</v>
      </c>
      <c r="M168" s="3" t="s">
        <v>35</v>
      </c>
      <c r="N168" s="3">
        <v>5</v>
      </c>
      <c r="O168" s="7">
        <f>YEAR('Data sheet'!$E69)</f>
        <v>2022</v>
      </c>
      <c r="P168" s="7" t="str">
        <f t="shared" ca="1" si="5"/>
        <v>5+ years</v>
      </c>
    </row>
    <row r="169" spans="1:16" x14ac:dyDescent="0.25">
      <c r="A169" s="1" t="s">
        <v>25</v>
      </c>
      <c r="B169" s="1"/>
      <c r="C169" s="2">
        <v>184945</v>
      </c>
      <c r="D169" s="3" t="s">
        <v>128</v>
      </c>
      <c r="E169" s="4">
        <v>44251</v>
      </c>
      <c r="F169" s="4">
        <v>44748</v>
      </c>
      <c r="G169" s="5" t="s">
        <v>38</v>
      </c>
      <c r="H169" s="2" t="s">
        <v>86</v>
      </c>
      <c r="I169" s="2" t="s">
        <v>22</v>
      </c>
      <c r="J169" s="6">
        <v>44466</v>
      </c>
      <c r="K169" s="6" t="s">
        <v>28</v>
      </c>
      <c r="L169" s="3" t="s">
        <v>29</v>
      </c>
      <c r="M169" s="3" t="s">
        <v>30</v>
      </c>
      <c r="N169" s="3">
        <v>10</v>
      </c>
      <c r="O169" s="7">
        <f>YEAR('Data sheet'!$E70)</f>
        <v>2022</v>
      </c>
      <c r="P169" s="7" t="str">
        <f t="shared" ca="1" si="5"/>
        <v>5+ years</v>
      </c>
    </row>
    <row r="170" spans="1:16" x14ac:dyDescent="0.25">
      <c r="A170" s="1" t="s">
        <v>16</v>
      </c>
      <c r="B170" s="1"/>
      <c r="C170" s="2">
        <v>129852</v>
      </c>
      <c r="D170" s="3" t="s">
        <v>129</v>
      </c>
      <c r="E170" s="4">
        <v>44257</v>
      </c>
      <c r="F170" s="4"/>
      <c r="G170" s="5" t="s">
        <v>57</v>
      </c>
      <c r="H170" s="2" t="s">
        <v>86</v>
      </c>
      <c r="I170" s="2" t="s">
        <v>22</v>
      </c>
      <c r="J170" s="6">
        <v>44200</v>
      </c>
      <c r="K170" s="6" t="s">
        <v>23</v>
      </c>
      <c r="L170" s="3" t="s">
        <v>89</v>
      </c>
      <c r="M170" s="3" t="s">
        <v>24</v>
      </c>
      <c r="N170" s="3">
        <v>10</v>
      </c>
      <c r="O170" s="7">
        <f>YEAR('Data sheet'!$E71)</f>
        <v>2022</v>
      </c>
      <c r="P170" s="7" t="str">
        <f t="shared" ca="1" si="5"/>
        <v>5+ years</v>
      </c>
    </row>
    <row r="171" spans="1:16" x14ac:dyDescent="0.25">
      <c r="A171" s="1" t="s">
        <v>25</v>
      </c>
      <c r="B171" s="1"/>
      <c r="C171" s="2">
        <v>139272</v>
      </c>
      <c r="D171" s="3" t="s">
        <v>130</v>
      </c>
      <c r="E171" s="4">
        <v>44264</v>
      </c>
      <c r="F171" s="4">
        <v>45107</v>
      </c>
      <c r="G171" s="5" t="s">
        <v>20</v>
      </c>
      <c r="H171" s="2" t="s">
        <v>86</v>
      </c>
      <c r="I171" s="2" t="s">
        <v>39</v>
      </c>
      <c r="J171" s="6">
        <v>44363</v>
      </c>
      <c r="K171" s="6" t="s">
        <v>28</v>
      </c>
      <c r="L171" s="3" t="s">
        <v>29</v>
      </c>
      <c r="M171" s="3" t="s">
        <v>24</v>
      </c>
      <c r="N171" s="3">
        <v>8</v>
      </c>
      <c r="O171" s="7">
        <f>YEAR('Data sheet'!$E72)</f>
        <v>2022</v>
      </c>
      <c r="P171" s="7" t="str">
        <f t="shared" ca="1" si="5"/>
        <v>5+ years</v>
      </c>
    </row>
    <row r="172" spans="1:16" x14ac:dyDescent="0.25">
      <c r="A172" s="1" t="s">
        <v>16</v>
      </c>
      <c r="B172" s="1"/>
      <c r="C172" s="2">
        <v>194976</v>
      </c>
      <c r="D172" s="3" t="s">
        <v>131</v>
      </c>
      <c r="E172" s="4">
        <v>44271</v>
      </c>
      <c r="F172" s="4"/>
      <c r="G172" s="5" t="s">
        <v>57</v>
      </c>
      <c r="H172" s="2" t="s">
        <v>86</v>
      </c>
      <c r="I172" s="2" t="s">
        <v>39</v>
      </c>
      <c r="J172" s="6">
        <v>44200</v>
      </c>
      <c r="K172" s="6" t="s">
        <v>23</v>
      </c>
      <c r="L172" s="3" t="s">
        <v>29</v>
      </c>
      <c r="M172" s="3" t="s">
        <v>24</v>
      </c>
      <c r="N172" s="3">
        <v>3.5</v>
      </c>
      <c r="O172" s="7">
        <f>YEAR('Data sheet'!$E73)</f>
        <v>2022</v>
      </c>
      <c r="P172" s="7" t="str">
        <f t="shared" ca="1" si="5"/>
        <v>5+ years</v>
      </c>
    </row>
  </sheetData>
  <phoneticPr fontId="4" type="noConversion"/>
  <conditionalFormatting sqref="A2:A172 H2:P51 C2:E172 G12 G20 G28 G52:P52 H53:P53 H58:P58 G59:P60 H61:P62 G63:P63 H64:P66 H81:P82 H89:P89 G90:P102 H103:P103 G104:P108 H109:P109 G110:P113 H114:P114 G115:P125 H126:P126 H135:P135 H144:P172">
    <cfRule type="containsBlanks" dxfId="20" priority="28">
      <formula>LEN(TRIM(A2))=0</formula>
    </cfRule>
  </conditionalFormatting>
  <conditionalFormatting sqref="A2:A172">
    <cfRule type="cellIs" dxfId="19" priority="21" operator="equal">
      <formula>"Open Position"</formula>
    </cfRule>
  </conditionalFormatting>
  <conditionalFormatting sqref="E46">
    <cfRule type="containsBlanks" dxfId="18" priority="26">
      <formula>LEN(TRIM(E46))=0</formula>
    </cfRule>
  </conditionalFormatting>
  <conditionalFormatting sqref="G2:G4">
    <cfRule type="containsBlanks" dxfId="17" priority="18">
      <formula>LEN(TRIM(G2))=0</formula>
    </cfRule>
  </conditionalFormatting>
  <conditionalFormatting sqref="G7">
    <cfRule type="containsBlanks" dxfId="16" priority="14">
      <formula>LEN(TRIM(G7))=0</formula>
    </cfRule>
  </conditionalFormatting>
  <conditionalFormatting sqref="G33">
    <cfRule type="containsBlanks" dxfId="15" priority="25">
      <formula>LEN(TRIM(G33))=0</formula>
    </cfRule>
  </conditionalFormatting>
  <conditionalFormatting sqref="G37:G38">
    <cfRule type="containsBlanks" dxfId="14" priority="5">
      <formula>LEN(TRIM(G37))=0</formula>
    </cfRule>
  </conditionalFormatting>
  <conditionalFormatting sqref="G46:G47">
    <cfRule type="containsBlanks" dxfId="13" priority="15">
      <formula>LEN(TRIM(G46))=0</formula>
    </cfRule>
  </conditionalFormatting>
  <conditionalFormatting sqref="G49">
    <cfRule type="containsBlanks" dxfId="12" priority="16">
      <formula>LEN(TRIM(G49))=0</formula>
    </cfRule>
  </conditionalFormatting>
  <conditionalFormatting sqref="G51">
    <cfRule type="containsBlanks" dxfId="11" priority="17">
      <formula>LEN(TRIM(G51))=0</formula>
    </cfRule>
  </conditionalFormatting>
  <conditionalFormatting sqref="G64">
    <cfRule type="containsBlanks" dxfId="10" priority="6">
      <formula>LEN(TRIM(G64))=0</formula>
    </cfRule>
  </conditionalFormatting>
  <conditionalFormatting sqref="G144:G145">
    <cfRule type="containsBlanks" dxfId="9" priority="1">
      <formula>LEN(TRIM(G144))=0</formula>
    </cfRule>
  </conditionalFormatting>
  <conditionalFormatting sqref="G147 G150">
    <cfRule type="containsBlanks" dxfId="8" priority="7">
      <formula>LEN(TRIM(G147))=0</formula>
    </cfRule>
  </conditionalFormatting>
  <conditionalFormatting sqref="G156:G161">
    <cfRule type="containsBlanks" dxfId="7" priority="10">
      <formula>LEN(TRIM(G156))=0</formula>
    </cfRule>
  </conditionalFormatting>
  <conditionalFormatting sqref="G170">
    <cfRule type="containsBlanks" dxfId="6" priority="19">
      <formula>LEN(TRIM(G170))=0</formula>
    </cfRule>
  </conditionalFormatting>
  <conditionalFormatting sqref="G54:P57">
    <cfRule type="containsBlanks" dxfId="5" priority="13">
      <formula>LEN(TRIM(G54))=0</formula>
    </cfRule>
  </conditionalFormatting>
  <conditionalFormatting sqref="G67:P80">
    <cfRule type="containsBlanks" dxfId="4" priority="4">
      <formula>LEN(TRIM(G67))=0</formula>
    </cfRule>
  </conditionalFormatting>
  <conditionalFormatting sqref="G83:P88">
    <cfRule type="containsBlanks" dxfId="3" priority="3">
      <formula>LEN(TRIM(G83))=0</formula>
    </cfRule>
  </conditionalFormatting>
  <conditionalFormatting sqref="G127:P134">
    <cfRule type="containsBlanks" dxfId="2" priority="8">
      <formula>LEN(TRIM(G127))=0</formula>
    </cfRule>
  </conditionalFormatting>
  <conditionalFormatting sqref="G136:P143">
    <cfRule type="containsBlanks" dxfId="1" priority="2">
      <formula>LEN(TRIM(G136))=0</formula>
    </cfRule>
  </conditionalFormatting>
  <conditionalFormatting sqref="M39 M67 M84 M97 M111 M113 M115 M122 M129 M132:M133">
    <cfRule type="containsBlanks" dxfId="0" priority="27">
      <formula>LEN(TRIM(M39))=0</formula>
    </cfRule>
  </conditionalFormatting>
  <hyperlinks>
    <hyperlink ref="D119" r:id="rId1" display="Prashantha.S@otis.com" xr:uid="{32945571-D028-4147-AEFC-1AC049F3F737}"/>
    <hyperlink ref="D73" r:id="rId2" display="Ishwarya.S@otis.com" xr:uid="{A2E5EEF4-DCF0-451D-BE90-0D9C27CABDF9}"/>
    <hyperlink ref="D31" r:id="rId3" display="vijay.patil@otis.com" xr:uid="{BB925652-F33F-4465-929F-42E3B621CE1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HR DASHBOARD</vt:lpstr>
      <vt:lpstr>Pivot</vt:lpstr>
      <vt:lpstr>Data 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Sowmiya Mohan</cp:lastModifiedBy>
  <dcterms:created xsi:type="dcterms:W3CDTF">2025-11-28T13:26:08Z</dcterms:created>
  <dcterms:modified xsi:type="dcterms:W3CDTF">2026-05-09T14:30:36Z</dcterms:modified>
</cp:coreProperties>
</file>